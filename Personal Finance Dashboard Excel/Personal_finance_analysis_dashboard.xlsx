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Work\Projects\Excel\"/>
    </mc:Choice>
  </mc:AlternateContent>
  <xr:revisionPtr revIDLastSave="0" documentId="13_ncr:1_{CCC731DB-71C5-4792-86A1-64E03CDF9EA7}" xr6:coauthVersionLast="47" xr6:coauthVersionMax="47" xr10:uidLastSave="{00000000-0000-0000-0000-000000000000}"/>
  <bookViews>
    <workbookView xWindow="-110" yWindow="-110" windowWidth="19420" windowHeight="11500" activeTab="2" xr2:uid="{00000000-000D-0000-FFFF-FFFF00000000}"/>
  </bookViews>
  <sheets>
    <sheet name="Data" sheetId="2" r:id="rId1"/>
    <sheet name="Dashboard" sheetId="13" r:id="rId2"/>
    <sheet name="Overview" sheetId="17" r:id="rId3"/>
    <sheet name="Income" sheetId="19" r:id="rId4"/>
    <sheet name="Expense" sheetId="16" r:id="rId5"/>
    <sheet name="Trends" sheetId="18" r:id="rId6"/>
    <sheet name="BarChart" sheetId="10" r:id="rId7"/>
    <sheet name="PieChart" sheetId="11" r:id="rId8"/>
    <sheet name="LineChart" sheetId="5" r:id="rId9"/>
  </sheets>
  <definedNames>
    <definedName name="Slicer_Month_Proper">#N/A</definedName>
    <definedName name="Slicer_Type__Income_Expense">#N/A</definedName>
  </definedNames>
  <calcPr calcId="191028"/>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2" i="2"/>
  <c r="D5" i="18"/>
  <c r="D6" i="18" s="1"/>
  <c r="D7" i="18" s="1"/>
  <c r="D8" i="18" s="1"/>
  <c r="J465" i="2"/>
  <c r="F4" i="2"/>
  <c r="J3" i="2"/>
  <c r="S6" i="13"/>
  <c r="S7" i="13" s="1"/>
  <c r="I17" i="2"/>
  <c r="G11" i="2"/>
  <c r="D9" i="18" l="1"/>
  <c r="D10" i="18" s="1"/>
  <c r="D11" i="18" s="1"/>
  <c r="D12" i="18" s="1"/>
  <c r="D13" i="18" s="1"/>
  <c r="D14" i="18" s="1"/>
  <c r="D15" i="18" s="1"/>
  <c r="D16" i="18" s="1"/>
  <c r="D17" i="18" s="1"/>
  <c r="G7" i="2"/>
  <c r="I764" i="2"/>
  <c r="K764" i="2" s="1"/>
  <c r="I760" i="2"/>
  <c r="K760" i="2" s="1"/>
  <c r="I765" i="2"/>
  <c r="K765" i="2" s="1"/>
  <c r="I766" i="2"/>
  <c r="K766" i="2" s="1"/>
  <c r="I767" i="2"/>
  <c r="K767" i="2" s="1"/>
  <c r="I768" i="2"/>
  <c r="K768" i="2" s="1"/>
  <c r="I769" i="2"/>
  <c r="K769" i="2" s="1"/>
  <c r="I770" i="2"/>
  <c r="K770" i="2" s="1"/>
  <c r="I771" i="2"/>
  <c r="K771" i="2" s="1"/>
  <c r="I772" i="2"/>
  <c r="K772" i="2" s="1"/>
  <c r="I773" i="2"/>
  <c r="K773" i="2" s="1"/>
  <c r="I774" i="2"/>
  <c r="K774" i="2" s="1"/>
  <c r="I775" i="2"/>
  <c r="K775" i="2" s="1"/>
  <c r="I776" i="2"/>
  <c r="K776" i="2" s="1"/>
  <c r="I777" i="2"/>
  <c r="K777" i="2" s="1"/>
  <c r="I778" i="2"/>
  <c r="K778" i="2" s="1"/>
  <c r="I779" i="2"/>
  <c r="K779" i="2" s="1"/>
  <c r="I780" i="2"/>
  <c r="K780" i="2" s="1"/>
  <c r="I781" i="2"/>
  <c r="K781" i="2" s="1"/>
  <c r="I782" i="2"/>
  <c r="K782" i="2" s="1"/>
  <c r="I783" i="2"/>
  <c r="K783" i="2" s="1"/>
  <c r="I784" i="2"/>
  <c r="K784" i="2" s="1"/>
  <c r="I785" i="2"/>
  <c r="K785" i="2" s="1"/>
  <c r="I786" i="2"/>
  <c r="K786" i="2" s="1"/>
  <c r="I787" i="2"/>
  <c r="K787" i="2" s="1"/>
  <c r="I788" i="2"/>
  <c r="K788" i="2" s="1"/>
  <c r="I789" i="2"/>
  <c r="K789" i="2" s="1"/>
  <c r="I790" i="2"/>
  <c r="K790" i="2" s="1"/>
  <c r="I791" i="2"/>
  <c r="K791" i="2" s="1"/>
  <c r="I792" i="2"/>
  <c r="K792" i="2" s="1"/>
  <c r="I793" i="2"/>
  <c r="K793" i="2" s="1"/>
  <c r="I794" i="2"/>
  <c r="K794" i="2" s="1"/>
  <c r="I795" i="2"/>
  <c r="K795" i="2" s="1"/>
  <c r="I796" i="2"/>
  <c r="K796" i="2" s="1"/>
  <c r="I797" i="2"/>
  <c r="K797" i="2" s="1"/>
  <c r="I798" i="2"/>
  <c r="K798" i="2" s="1"/>
  <c r="I799" i="2"/>
  <c r="K799" i="2" s="1"/>
  <c r="I800" i="2"/>
  <c r="K800" i="2" s="1"/>
  <c r="I801" i="2"/>
  <c r="K801" i="2" s="1"/>
  <c r="I802" i="2"/>
  <c r="K802" i="2" s="1"/>
  <c r="I803" i="2"/>
  <c r="K803" i="2" s="1"/>
  <c r="I804" i="2"/>
  <c r="K804" i="2" s="1"/>
  <c r="I805" i="2"/>
  <c r="K805" i="2" s="1"/>
  <c r="I806" i="2"/>
  <c r="K806" i="2" s="1"/>
  <c r="I807" i="2"/>
  <c r="K807" i="2" s="1"/>
  <c r="I808" i="2"/>
  <c r="K808" i="2" s="1"/>
  <c r="I809" i="2"/>
  <c r="K809" i="2" s="1"/>
  <c r="I810" i="2"/>
  <c r="K810" i="2" s="1"/>
  <c r="I811" i="2"/>
  <c r="K811" i="2" s="1"/>
  <c r="I812" i="2"/>
  <c r="K812" i="2" s="1"/>
  <c r="I813" i="2"/>
  <c r="K813" i="2" s="1"/>
  <c r="I814" i="2"/>
  <c r="K814" i="2" s="1"/>
  <c r="I815" i="2"/>
  <c r="K815" i="2" s="1"/>
  <c r="I816" i="2"/>
  <c r="K816" i="2" s="1"/>
  <c r="I817" i="2"/>
  <c r="K817" i="2" s="1"/>
  <c r="I818" i="2"/>
  <c r="K818" i="2" s="1"/>
  <c r="I819" i="2"/>
  <c r="K819" i="2" s="1"/>
  <c r="I820" i="2"/>
  <c r="K820" i="2" s="1"/>
  <c r="I821" i="2"/>
  <c r="K821" i="2" s="1"/>
  <c r="I822" i="2"/>
  <c r="K822" i="2" s="1"/>
  <c r="I823" i="2"/>
  <c r="K823" i="2" s="1"/>
  <c r="I824" i="2"/>
  <c r="K824" i="2" s="1"/>
  <c r="I825" i="2"/>
  <c r="K825" i="2" s="1"/>
  <c r="I826" i="2"/>
  <c r="K826" i="2" s="1"/>
  <c r="I827" i="2"/>
  <c r="K827" i="2" s="1"/>
  <c r="I828" i="2"/>
  <c r="K828" i="2" s="1"/>
  <c r="I829" i="2"/>
  <c r="K829" i="2" s="1"/>
  <c r="I830" i="2"/>
  <c r="K830" i="2" s="1"/>
  <c r="I831" i="2"/>
  <c r="K831" i="2" s="1"/>
  <c r="I832" i="2"/>
  <c r="K832" i="2" s="1"/>
  <c r="I833" i="2"/>
  <c r="K833" i="2" s="1"/>
  <c r="I834" i="2"/>
  <c r="K834" i="2" s="1"/>
  <c r="I835" i="2"/>
  <c r="K835" i="2" s="1"/>
  <c r="I836" i="2"/>
  <c r="K836" i="2" s="1"/>
  <c r="I837" i="2"/>
  <c r="K837" i="2" s="1"/>
  <c r="I838" i="2"/>
  <c r="K838" i="2" s="1"/>
  <c r="I839" i="2"/>
  <c r="K839" i="2" s="1"/>
  <c r="I840" i="2"/>
  <c r="K840" i="2" s="1"/>
  <c r="I841" i="2"/>
  <c r="K841" i="2" s="1"/>
  <c r="I842" i="2"/>
  <c r="K842" i="2" s="1"/>
  <c r="I843" i="2"/>
  <c r="K843" i="2" s="1"/>
  <c r="I844" i="2"/>
  <c r="K844" i="2" s="1"/>
  <c r="I845" i="2"/>
  <c r="K845" i="2" s="1"/>
  <c r="I846" i="2"/>
  <c r="K846" i="2" s="1"/>
  <c r="I847" i="2"/>
  <c r="K847" i="2" s="1"/>
  <c r="I848" i="2"/>
  <c r="K848" i="2" s="1"/>
  <c r="I849" i="2"/>
  <c r="K849" i="2" s="1"/>
  <c r="I850" i="2"/>
  <c r="K850" i="2" s="1"/>
  <c r="I851" i="2"/>
  <c r="K851" i="2" s="1"/>
  <c r="I852" i="2"/>
  <c r="K852" i="2" s="1"/>
  <c r="I853" i="2"/>
  <c r="K853" i="2" s="1"/>
  <c r="I854" i="2"/>
  <c r="K854" i="2" s="1"/>
  <c r="I855" i="2"/>
  <c r="K855" i="2" s="1"/>
  <c r="I856" i="2"/>
  <c r="K856" i="2" s="1"/>
  <c r="I857" i="2"/>
  <c r="K857" i="2" s="1"/>
  <c r="I858" i="2"/>
  <c r="K858" i="2" s="1"/>
  <c r="I859" i="2"/>
  <c r="K859" i="2" s="1"/>
  <c r="I860" i="2"/>
  <c r="K860" i="2" s="1"/>
  <c r="I861" i="2"/>
  <c r="K861" i="2" s="1"/>
  <c r="I862" i="2"/>
  <c r="K862" i="2" s="1"/>
  <c r="I863" i="2"/>
  <c r="K863" i="2" s="1"/>
  <c r="I864" i="2"/>
  <c r="K864" i="2" s="1"/>
  <c r="I865" i="2"/>
  <c r="K865" i="2" s="1"/>
  <c r="I866" i="2"/>
  <c r="K866" i="2" s="1"/>
  <c r="I867" i="2"/>
  <c r="K867" i="2" s="1"/>
  <c r="I868" i="2"/>
  <c r="K868" i="2" s="1"/>
  <c r="I869" i="2"/>
  <c r="K869" i="2" s="1"/>
  <c r="I870" i="2"/>
  <c r="K870" i="2" s="1"/>
  <c r="I871" i="2"/>
  <c r="K871" i="2" s="1"/>
  <c r="I872" i="2"/>
  <c r="K872" i="2" s="1"/>
  <c r="I873" i="2"/>
  <c r="K873" i="2" s="1"/>
  <c r="I874" i="2"/>
  <c r="K874" i="2" s="1"/>
  <c r="I875" i="2"/>
  <c r="K875" i="2" s="1"/>
  <c r="I876" i="2"/>
  <c r="K876" i="2" s="1"/>
  <c r="I877" i="2"/>
  <c r="K877" i="2" s="1"/>
  <c r="I878" i="2"/>
  <c r="K878" i="2" s="1"/>
  <c r="I879" i="2"/>
  <c r="K879" i="2" s="1"/>
  <c r="I880" i="2"/>
  <c r="K880" i="2" s="1"/>
  <c r="I881" i="2"/>
  <c r="K881" i="2" s="1"/>
  <c r="I882" i="2"/>
  <c r="K882" i="2" s="1"/>
  <c r="I883" i="2"/>
  <c r="K883" i="2" s="1"/>
  <c r="I884" i="2"/>
  <c r="K884" i="2" s="1"/>
  <c r="I885" i="2"/>
  <c r="K885" i="2" s="1"/>
  <c r="I886" i="2"/>
  <c r="K886" i="2" s="1"/>
  <c r="I887" i="2"/>
  <c r="K887" i="2" s="1"/>
  <c r="I888" i="2"/>
  <c r="K888" i="2" s="1"/>
  <c r="I889" i="2"/>
  <c r="K889" i="2" s="1"/>
  <c r="I890" i="2"/>
  <c r="K890" i="2" s="1"/>
  <c r="I891" i="2"/>
  <c r="K891" i="2" s="1"/>
  <c r="I892" i="2"/>
  <c r="K892" i="2" s="1"/>
  <c r="I893" i="2"/>
  <c r="K893" i="2" s="1"/>
  <c r="I894" i="2"/>
  <c r="K894" i="2" s="1"/>
  <c r="I895" i="2"/>
  <c r="K895" i="2" s="1"/>
  <c r="I896" i="2"/>
  <c r="K896" i="2" s="1"/>
  <c r="I897" i="2"/>
  <c r="K897" i="2" s="1"/>
  <c r="I898" i="2"/>
  <c r="K898" i="2" s="1"/>
  <c r="I899" i="2"/>
  <c r="K899" i="2" s="1"/>
  <c r="I900" i="2"/>
  <c r="K900" i="2" s="1"/>
  <c r="I901" i="2"/>
  <c r="K901" i="2" s="1"/>
  <c r="I902" i="2"/>
  <c r="K902" i="2" s="1"/>
  <c r="I903" i="2"/>
  <c r="K903" i="2" s="1"/>
  <c r="I904" i="2"/>
  <c r="K904" i="2" s="1"/>
  <c r="I905" i="2"/>
  <c r="K905" i="2" s="1"/>
  <c r="I906" i="2"/>
  <c r="K906" i="2" s="1"/>
  <c r="I907" i="2"/>
  <c r="K907" i="2" s="1"/>
  <c r="I908" i="2"/>
  <c r="K908" i="2" s="1"/>
  <c r="I909" i="2"/>
  <c r="K909" i="2" s="1"/>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2" i="2"/>
  <c r="I3" i="2"/>
  <c r="K3" i="2" s="1"/>
  <c r="I4" i="2"/>
  <c r="K4" i="2" s="1"/>
  <c r="I5" i="2"/>
  <c r="K5" i="2" s="1"/>
  <c r="I6" i="2"/>
  <c r="K6" i="2" s="1"/>
  <c r="I7" i="2"/>
  <c r="K7" i="2" s="1"/>
  <c r="I8" i="2"/>
  <c r="K8" i="2" s="1"/>
  <c r="I9" i="2"/>
  <c r="K9" i="2" s="1"/>
  <c r="I10" i="2"/>
  <c r="K10" i="2" s="1"/>
  <c r="I11" i="2"/>
  <c r="K11" i="2" s="1"/>
  <c r="I12" i="2"/>
  <c r="K12" i="2" s="1"/>
  <c r="I13" i="2"/>
  <c r="K13" i="2" s="1"/>
  <c r="I14" i="2"/>
  <c r="K14" i="2" s="1"/>
  <c r="I15" i="2"/>
  <c r="K15" i="2" s="1"/>
  <c r="I16" i="2"/>
  <c r="K16" i="2" s="1"/>
  <c r="K17" i="2"/>
  <c r="I18" i="2"/>
  <c r="K18" i="2" s="1"/>
  <c r="I19" i="2"/>
  <c r="K19" i="2" s="1"/>
  <c r="I20" i="2"/>
  <c r="K20" i="2" s="1"/>
  <c r="I21" i="2"/>
  <c r="K21" i="2" s="1"/>
  <c r="I22" i="2"/>
  <c r="K22" i="2" s="1"/>
  <c r="I23" i="2"/>
  <c r="K23" i="2" s="1"/>
  <c r="I24" i="2"/>
  <c r="K24" i="2" s="1"/>
  <c r="I25" i="2"/>
  <c r="K25" i="2" s="1"/>
  <c r="I26" i="2"/>
  <c r="K26" i="2" s="1"/>
  <c r="I27" i="2"/>
  <c r="K27" i="2" s="1"/>
  <c r="I28" i="2"/>
  <c r="K28" i="2" s="1"/>
  <c r="I29" i="2"/>
  <c r="K29" i="2" s="1"/>
  <c r="I30" i="2"/>
  <c r="K30" i="2" s="1"/>
  <c r="I31" i="2"/>
  <c r="K31" i="2" s="1"/>
  <c r="I32" i="2"/>
  <c r="K32" i="2" s="1"/>
  <c r="I33" i="2"/>
  <c r="K33" i="2" s="1"/>
  <c r="I34" i="2"/>
  <c r="K34" i="2" s="1"/>
  <c r="I35" i="2"/>
  <c r="K35" i="2" s="1"/>
  <c r="I36" i="2"/>
  <c r="K36" i="2" s="1"/>
  <c r="I37" i="2"/>
  <c r="K37" i="2" s="1"/>
  <c r="I38" i="2"/>
  <c r="K38" i="2" s="1"/>
  <c r="I39" i="2"/>
  <c r="K39" i="2" s="1"/>
  <c r="I40" i="2"/>
  <c r="K40" i="2" s="1"/>
  <c r="I41" i="2"/>
  <c r="K41" i="2" s="1"/>
  <c r="I42" i="2"/>
  <c r="K42" i="2" s="1"/>
  <c r="I43" i="2"/>
  <c r="K43" i="2" s="1"/>
  <c r="I44" i="2"/>
  <c r="K44" i="2" s="1"/>
  <c r="I45" i="2"/>
  <c r="K45" i="2" s="1"/>
  <c r="I46" i="2"/>
  <c r="K46" i="2" s="1"/>
  <c r="I47" i="2"/>
  <c r="K47" i="2" s="1"/>
  <c r="I48" i="2"/>
  <c r="K48" i="2" s="1"/>
  <c r="I49" i="2"/>
  <c r="K49" i="2" s="1"/>
  <c r="I50" i="2"/>
  <c r="K50" i="2" s="1"/>
  <c r="I51" i="2"/>
  <c r="K51" i="2" s="1"/>
  <c r="I52" i="2"/>
  <c r="K52" i="2" s="1"/>
  <c r="I53" i="2"/>
  <c r="K53" i="2" s="1"/>
  <c r="I54" i="2"/>
  <c r="K54" i="2" s="1"/>
  <c r="I55" i="2"/>
  <c r="K55" i="2" s="1"/>
  <c r="I56" i="2"/>
  <c r="K56" i="2" s="1"/>
  <c r="I57" i="2"/>
  <c r="K57" i="2" s="1"/>
  <c r="I58" i="2"/>
  <c r="K58" i="2" s="1"/>
  <c r="I59" i="2"/>
  <c r="K59" i="2" s="1"/>
  <c r="I60" i="2"/>
  <c r="K60" i="2" s="1"/>
  <c r="I61" i="2"/>
  <c r="K61" i="2" s="1"/>
  <c r="I62" i="2"/>
  <c r="K62" i="2" s="1"/>
  <c r="I63" i="2"/>
  <c r="K63" i="2" s="1"/>
  <c r="I64" i="2"/>
  <c r="K64" i="2" s="1"/>
  <c r="I65" i="2"/>
  <c r="K65" i="2" s="1"/>
  <c r="I66" i="2"/>
  <c r="K66" i="2" s="1"/>
  <c r="I67" i="2"/>
  <c r="K67" i="2" s="1"/>
  <c r="I68" i="2"/>
  <c r="K68" i="2" s="1"/>
  <c r="I69" i="2"/>
  <c r="K69" i="2" s="1"/>
  <c r="I70" i="2"/>
  <c r="K70" i="2" s="1"/>
  <c r="I71" i="2"/>
  <c r="K71" i="2" s="1"/>
  <c r="I72" i="2"/>
  <c r="K72" i="2" s="1"/>
  <c r="I73" i="2"/>
  <c r="K73" i="2" s="1"/>
  <c r="I74" i="2"/>
  <c r="K74" i="2" s="1"/>
  <c r="I75" i="2"/>
  <c r="K75" i="2" s="1"/>
  <c r="I76" i="2"/>
  <c r="K76" i="2" s="1"/>
  <c r="I77" i="2"/>
  <c r="K77" i="2" s="1"/>
  <c r="I78" i="2"/>
  <c r="K78" i="2" s="1"/>
  <c r="I79" i="2"/>
  <c r="K79" i="2" s="1"/>
  <c r="I80" i="2"/>
  <c r="K80" i="2" s="1"/>
  <c r="I81" i="2"/>
  <c r="K81" i="2" s="1"/>
  <c r="I82" i="2"/>
  <c r="K82" i="2" s="1"/>
  <c r="I83" i="2"/>
  <c r="K83" i="2" s="1"/>
  <c r="I84" i="2"/>
  <c r="K84" i="2" s="1"/>
  <c r="I85" i="2"/>
  <c r="K85" i="2" s="1"/>
  <c r="I86" i="2"/>
  <c r="K86" i="2" s="1"/>
  <c r="I87" i="2"/>
  <c r="K87" i="2" s="1"/>
  <c r="I88" i="2"/>
  <c r="K88" i="2" s="1"/>
  <c r="I89" i="2"/>
  <c r="K89" i="2" s="1"/>
  <c r="I90" i="2"/>
  <c r="K90" i="2" s="1"/>
  <c r="I91" i="2"/>
  <c r="K91" i="2" s="1"/>
  <c r="I92" i="2"/>
  <c r="K92" i="2" s="1"/>
  <c r="I93" i="2"/>
  <c r="K93" i="2" s="1"/>
  <c r="I94" i="2"/>
  <c r="K94" i="2" s="1"/>
  <c r="I95" i="2"/>
  <c r="K95" i="2" s="1"/>
  <c r="I96" i="2"/>
  <c r="K96" i="2" s="1"/>
  <c r="I97" i="2"/>
  <c r="K97" i="2" s="1"/>
  <c r="I98" i="2"/>
  <c r="K98" i="2" s="1"/>
  <c r="I99" i="2"/>
  <c r="K99" i="2" s="1"/>
  <c r="I100" i="2"/>
  <c r="K100" i="2" s="1"/>
  <c r="I101" i="2"/>
  <c r="K101" i="2" s="1"/>
  <c r="I102" i="2"/>
  <c r="K102" i="2" s="1"/>
  <c r="I103" i="2"/>
  <c r="K103" i="2" s="1"/>
  <c r="I104" i="2"/>
  <c r="K104" i="2" s="1"/>
  <c r="I105" i="2"/>
  <c r="K105" i="2" s="1"/>
  <c r="I106" i="2"/>
  <c r="K106" i="2" s="1"/>
  <c r="I107" i="2"/>
  <c r="K107" i="2" s="1"/>
  <c r="I108" i="2"/>
  <c r="K108" i="2" s="1"/>
  <c r="I109" i="2"/>
  <c r="K109" i="2" s="1"/>
  <c r="I110" i="2"/>
  <c r="K110" i="2" s="1"/>
  <c r="I111" i="2"/>
  <c r="K111" i="2" s="1"/>
  <c r="I112" i="2"/>
  <c r="K112" i="2" s="1"/>
  <c r="I113" i="2"/>
  <c r="K113" i="2" s="1"/>
  <c r="I114" i="2"/>
  <c r="K114" i="2" s="1"/>
  <c r="I115" i="2"/>
  <c r="K115" i="2" s="1"/>
  <c r="I116" i="2"/>
  <c r="K116" i="2" s="1"/>
  <c r="I117" i="2"/>
  <c r="K117" i="2" s="1"/>
  <c r="I118" i="2"/>
  <c r="K118" i="2" s="1"/>
  <c r="I119" i="2"/>
  <c r="K119" i="2" s="1"/>
  <c r="I120" i="2"/>
  <c r="K120" i="2" s="1"/>
  <c r="I121" i="2"/>
  <c r="K121" i="2" s="1"/>
  <c r="I122" i="2"/>
  <c r="K122" i="2" s="1"/>
  <c r="I123" i="2"/>
  <c r="K123" i="2" s="1"/>
  <c r="I124" i="2"/>
  <c r="K124" i="2" s="1"/>
  <c r="I125" i="2"/>
  <c r="K125" i="2" s="1"/>
  <c r="I126" i="2"/>
  <c r="K126" i="2" s="1"/>
  <c r="I127" i="2"/>
  <c r="K127" i="2" s="1"/>
  <c r="I128" i="2"/>
  <c r="K128" i="2" s="1"/>
  <c r="I129" i="2"/>
  <c r="K129" i="2" s="1"/>
  <c r="I130" i="2"/>
  <c r="K130" i="2" s="1"/>
  <c r="I131" i="2"/>
  <c r="K131" i="2" s="1"/>
  <c r="I132" i="2"/>
  <c r="K132" i="2" s="1"/>
  <c r="I133" i="2"/>
  <c r="K133" i="2" s="1"/>
  <c r="I134" i="2"/>
  <c r="K134" i="2" s="1"/>
  <c r="I135" i="2"/>
  <c r="K135" i="2" s="1"/>
  <c r="I136" i="2"/>
  <c r="K136" i="2" s="1"/>
  <c r="I137" i="2"/>
  <c r="K137" i="2" s="1"/>
  <c r="I138" i="2"/>
  <c r="K138" i="2" s="1"/>
  <c r="I139" i="2"/>
  <c r="K139" i="2" s="1"/>
  <c r="I140" i="2"/>
  <c r="K140" i="2" s="1"/>
  <c r="I141" i="2"/>
  <c r="K141" i="2" s="1"/>
  <c r="I142" i="2"/>
  <c r="K142" i="2" s="1"/>
  <c r="I143" i="2"/>
  <c r="K143" i="2" s="1"/>
  <c r="I144" i="2"/>
  <c r="K144" i="2" s="1"/>
  <c r="I145" i="2"/>
  <c r="K145" i="2" s="1"/>
  <c r="I146" i="2"/>
  <c r="K146" i="2" s="1"/>
  <c r="I147" i="2"/>
  <c r="K147" i="2" s="1"/>
  <c r="I148" i="2"/>
  <c r="K148" i="2" s="1"/>
  <c r="I149" i="2"/>
  <c r="K149" i="2" s="1"/>
  <c r="I150" i="2"/>
  <c r="K150" i="2" s="1"/>
  <c r="I151" i="2"/>
  <c r="K151" i="2" s="1"/>
  <c r="I152" i="2"/>
  <c r="K152" i="2" s="1"/>
  <c r="I153" i="2"/>
  <c r="K153" i="2" s="1"/>
  <c r="I154" i="2"/>
  <c r="K154" i="2" s="1"/>
  <c r="I155" i="2"/>
  <c r="K155" i="2" s="1"/>
  <c r="I156" i="2"/>
  <c r="K156" i="2" s="1"/>
  <c r="I157" i="2"/>
  <c r="K157" i="2" s="1"/>
  <c r="I158" i="2"/>
  <c r="K158" i="2" s="1"/>
  <c r="I159" i="2"/>
  <c r="K159" i="2" s="1"/>
  <c r="I160" i="2"/>
  <c r="K160" i="2" s="1"/>
  <c r="I161" i="2"/>
  <c r="K161" i="2" s="1"/>
  <c r="I162" i="2"/>
  <c r="K162" i="2" s="1"/>
  <c r="I163" i="2"/>
  <c r="K163" i="2" s="1"/>
  <c r="I164" i="2"/>
  <c r="K164" i="2" s="1"/>
  <c r="I165" i="2"/>
  <c r="K165" i="2" s="1"/>
  <c r="I166" i="2"/>
  <c r="K166" i="2" s="1"/>
  <c r="I167" i="2"/>
  <c r="K167" i="2" s="1"/>
  <c r="I168" i="2"/>
  <c r="K168" i="2" s="1"/>
  <c r="I169" i="2"/>
  <c r="K169" i="2" s="1"/>
  <c r="I170" i="2"/>
  <c r="K170" i="2" s="1"/>
  <c r="I171" i="2"/>
  <c r="K171" i="2" s="1"/>
  <c r="I172" i="2"/>
  <c r="K172" i="2" s="1"/>
  <c r="I173" i="2"/>
  <c r="K173" i="2" s="1"/>
  <c r="I174" i="2"/>
  <c r="K174" i="2" s="1"/>
  <c r="I175" i="2"/>
  <c r="K175" i="2" s="1"/>
  <c r="I176" i="2"/>
  <c r="K176" i="2" s="1"/>
  <c r="I177" i="2"/>
  <c r="K177" i="2" s="1"/>
  <c r="I178" i="2"/>
  <c r="K178" i="2" s="1"/>
  <c r="I179" i="2"/>
  <c r="K179" i="2" s="1"/>
  <c r="I180" i="2"/>
  <c r="K180" i="2" s="1"/>
  <c r="I181" i="2"/>
  <c r="K181" i="2" s="1"/>
  <c r="I182" i="2"/>
  <c r="K182" i="2" s="1"/>
  <c r="I183" i="2"/>
  <c r="K183" i="2" s="1"/>
  <c r="I184" i="2"/>
  <c r="K184" i="2" s="1"/>
  <c r="I185" i="2"/>
  <c r="K185" i="2" s="1"/>
  <c r="I186" i="2"/>
  <c r="K186" i="2" s="1"/>
  <c r="I187" i="2"/>
  <c r="K187" i="2" s="1"/>
  <c r="I188" i="2"/>
  <c r="K188" i="2" s="1"/>
  <c r="I189" i="2"/>
  <c r="K189" i="2" s="1"/>
  <c r="I190" i="2"/>
  <c r="K190" i="2" s="1"/>
  <c r="I191" i="2"/>
  <c r="K191" i="2" s="1"/>
  <c r="I192" i="2"/>
  <c r="K192" i="2" s="1"/>
  <c r="I193" i="2"/>
  <c r="K193" i="2" s="1"/>
  <c r="I194" i="2"/>
  <c r="K194" i="2" s="1"/>
  <c r="I195" i="2"/>
  <c r="K195" i="2" s="1"/>
  <c r="I196" i="2"/>
  <c r="K196" i="2" s="1"/>
  <c r="I197" i="2"/>
  <c r="K197" i="2" s="1"/>
  <c r="I198" i="2"/>
  <c r="K198" i="2" s="1"/>
  <c r="I199" i="2"/>
  <c r="K199" i="2" s="1"/>
  <c r="I200" i="2"/>
  <c r="K200" i="2" s="1"/>
  <c r="I201" i="2"/>
  <c r="K201" i="2" s="1"/>
  <c r="I202" i="2"/>
  <c r="K202" i="2" s="1"/>
  <c r="I203" i="2"/>
  <c r="K203" i="2" s="1"/>
  <c r="I204" i="2"/>
  <c r="K204" i="2" s="1"/>
  <c r="I205" i="2"/>
  <c r="K205" i="2" s="1"/>
  <c r="I206" i="2"/>
  <c r="K206" i="2" s="1"/>
  <c r="I207" i="2"/>
  <c r="K207" i="2" s="1"/>
  <c r="I208" i="2"/>
  <c r="K208" i="2" s="1"/>
  <c r="I209" i="2"/>
  <c r="K209" i="2" s="1"/>
  <c r="I210" i="2"/>
  <c r="K210" i="2" s="1"/>
  <c r="I211" i="2"/>
  <c r="K211" i="2" s="1"/>
  <c r="I212" i="2"/>
  <c r="K212" i="2" s="1"/>
  <c r="I213" i="2"/>
  <c r="K213" i="2" s="1"/>
  <c r="I214" i="2"/>
  <c r="K214" i="2" s="1"/>
  <c r="I215" i="2"/>
  <c r="K215" i="2" s="1"/>
  <c r="I216" i="2"/>
  <c r="K216" i="2" s="1"/>
  <c r="I217" i="2"/>
  <c r="K217" i="2" s="1"/>
  <c r="I218" i="2"/>
  <c r="K218" i="2" s="1"/>
  <c r="I219" i="2"/>
  <c r="K219" i="2" s="1"/>
  <c r="I220" i="2"/>
  <c r="K220" i="2" s="1"/>
  <c r="I221" i="2"/>
  <c r="K221" i="2" s="1"/>
  <c r="I222" i="2"/>
  <c r="K222" i="2" s="1"/>
  <c r="I223" i="2"/>
  <c r="K223" i="2" s="1"/>
  <c r="I224" i="2"/>
  <c r="K224" i="2" s="1"/>
  <c r="I225" i="2"/>
  <c r="K225" i="2" s="1"/>
  <c r="I226" i="2"/>
  <c r="K226" i="2" s="1"/>
  <c r="I227" i="2"/>
  <c r="K227" i="2" s="1"/>
  <c r="I228" i="2"/>
  <c r="K228" i="2" s="1"/>
  <c r="I229" i="2"/>
  <c r="K229" i="2" s="1"/>
  <c r="I230" i="2"/>
  <c r="K230" i="2" s="1"/>
  <c r="I231" i="2"/>
  <c r="K231" i="2" s="1"/>
  <c r="I232" i="2"/>
  <c r="K232" i="2" s="1"/>
  <c r="I233" i="2"/>
  <c r="K233" i="2" s="1"/>
  <c r="I234" i="2"/>
  <c r="K234" i="2" s="1"/>
  <c r="I235" i="2"/>
  <c r="K235" i="2" s="1"/>
  <c r="I236" i="2"/>
  <c r="K236" i="2" s="1"/>
  <c r="I237" i="2"/>
  <c r="K237" i="2" s="1"/>
  <c r="I238" i="2"/>
  <c r="K238" i="2" s="1"/>
  <c r="I239" i="2"/>
  <c r="K239" i="2" s="1"/>
  <c r="I240" i="2"/>
  <c r="K240" i="2" s="1"/>
  <c r="I241" i="2"/>
  <c r="K241" i="2" s="1"/>
  <c r="I242" i="2"/>
  <c r="K242" i="2" s="1"/>
  <c r="I243" i="2"/>
  <c r="K243" i="2" s="1"/>
  <c r="I244" i="2"/>
  <c r="K244" i="2" s="1"/>
  <c r="I245" i="2"/>
  <c r="K245" i="2" s="1"/>
  <c r="I246" i="2"/>
  <c r="K246" i="2" s="1"/>
  <c r="I247" i="2"/>
  <c r="K247" i="2" s="1"/>
  <c r="I248" i="2"/>
  <c r="K248" i="2" s="1"/>
  <c r="I249" i="2"/>
  <c r="K249" i="2" s="1"/>
  <c r="I250" i="2"/>
  <c r="K250" i="2" s="1"/>
  <c r="I251" i="2"/>
  <c r="K251" i="2" s="1"/>
  <c r="I252" i="2"/>
  <c r="K252" i="2" s="1"/>
  <c r="I253" i="2"/>
  <c r="K253" i="2" s="1"/>
  <c r="I254" i="2"/>
  <c r="K254" i="2" s="1"/>
  <c r="I255" i="2"/>
  <c r="K255" i="2" s="1"/>
  <c r="I256" i="2"/>
  <c r="K256" i="2" s="1"/>
  <c r="I257" i="2"/>
  <c r="K257" i="2" s="1"/>
  <c r="I258" i="2"/>
  <c r="K258" i="2" s="1"/>
  <c r="I259" i="2"/>
  <c r="K259" i="2" s="1"/>
  <c r="I260" i="2"/>
  <c r="K260" i="2" s="1"/>
  <c r="I261" i="2"/>
  <c r="K261" i="2" s="1"/>
  <c r="I262" i="2"/>
  <c r="K262" i="2" s="1"/>
  <c r="I263" i="2"/>
  <c r="K263" i="2" s="1"/>
  <c r="I264" i="2"/>
  <c r="K264" i="2" s="1"/>
  <c r="I265" i="2"/>
  <c r="K265" i="2" s="1"/>
  <c r="I266" i="2"/>
  <c r="K266" i="2" s="1"/>
  <c r="I267" i="2"/>
  <c r="K267" i="2" s="1"/>
  <c r="I268" i="2"/>
  <c r="K268" i="2" s="1"/>
  <c r="I269" i="2"/>
  <c r="K269" i="2" s="1"/>
  <c r="I270" i="2"/>
  <c r="K270" i="2" s="1"/>
  <c r="I271" i="2"/>
  <c r="K271" i="2" s="1"/>
  <c r="I272" i="2"/>
  <c r="K272" i="2" s="1"/>
  <c r="I273" i="2"/>
  <c r="K273" i="2" s="1"/>
  <c r="I274" i="2"/>
  <c r="K274" i="2" s="1"/>
  <c r="I275" i="2"/>
  <c r="K275" i="2" s="1"/>
  <c r="I276" i="2"/>
  <c r="K276" i="2" s="1"/>
  <c r="I277" i="2"/>
  <c r="K277" i="2" s="1"/>
  <c r="I278" i="2"/>
  <c r="K278" i="2" s="1"/>
  <c r="I279" i="2"/>
  <c r="K279" i="2" s="1"/>
  <c r="I280" i="2"/>
  <c r="K280" i="2" s="1"/>
  <c r="I281" i="2"/>
  <c r="K281" i="2" s="1"/>
  <c r="I282" i="2"/>
  <c r="K282" i="2" s="1"/>
  <c r="I283" i="2"/>
  <c r="K283" i="2" s="1"/>
  <c r="I284" i="2"/>
  <c r="K284" i="2" s="1"/>
  <c r="I285" i="2"/>
  <c r="K285" i="2" s="1"/>
  <c r="I286" i="2"/>
  <c r="K286" i="2" s="1"/>
  <c r="I287" i="2"/>
  <c r="K287" i="2" s="1"/>
  <c r="I288" i="2"/>
  <c r="K288" i="2" s="1"/>
  <c r="I289" i="2"/>
  <c r="K289" i="2" s="1"/>
  <c r="I290" i="2"/>
  <c r="K290" i="2" s="1"/>
  <c r="I291" i="2"/>
  <c r="K291" i="2" s="1"/>
  <c r="I292" i="2"/>
  <c r="K292" i="2" s="1"/>
  <c r="I293" i="2"/>
  <c r="K293" i="2" s="1"/>
  <c r="I294" i="2"/>
  <c r="K294" i="2" s="1"/>
  <c r="I295" i="2"/>
  <c r="K295" i="2" s="1"/>
  <c r="I296" i="2"/>
  <c r="K296" i="2" s="1"/>
  <c r="I297" i="2"/>
  <c r="K297" i="2" s="1"/>
  <c r="I298" i="2"/>
  <c r="K298" i="2" s="1"/>
  <c r="I299" i="2"/>
  <c r="K299" i="2" s="1"/>
  <c r="I300" i="2"/>
  <c r="K300" i="2" s="1"/>
  <c r="I301" i="2"/>
  <c r="K301" i="2" s="1"/>
  <c r="I302" i="2"/>
  <c r="K302" i="2" s="1"/>
  <c r="I303" i="2"/>
  <c r="K303" i="2" s="1"/>
  <c r="I304" i="2"/>
  <c r="K304" i="2" s="1"/>
  <c r="I305" i="2"/>
  <c r="K305" i="2" s="1"/>
  <c r="I306" i="2"/>
  <c r="K306" i="2" s="1"/>
  <c r="I307" i="2"/>
  <c r="K307" i="2" s="1"/>
  <c r="I308" i="2"/>
  <c r="K308" i="2" s="1"/>
  <c r="I309" i="2"/>
  <c r="K309" i="2" s="1"/>
  <c r="I310" i="2"/>
  <c r="K310" i="2" s="1"/>
  <c r="I311" i="2"/>
  <c r="K311" i="2" s="1"/>
  <c r="I312" i="2"/>
  <c r="K312" i="2" s="1"/>
  <c r="I313" i="2"/>
  <c r="K313" i="2" s="1"/>
  <c r="I314" i="2"/>
  <c r="K314" i="2" s="1"/>
  <c r="I315" i="2"/>
  <c r="K315" i="2" s="1"/>
  <c r="I316" i="2"/>
  <c r="K316" i="2" s="1"/>
  <c r="I317" i="2"/>
  <c r="K317" i="2" s="1"/>
  <c r="I318" i="2"/>
  <c r="K318" i="2" s="1"/>
  <c r="I319" i="2"/>
  <c r="K319" i="2" s="1"/>
  <c r="I320" i="2"/>
  <c r="K320" i="2" s="1"/>
  <c r="I321" i="2"/>
  <c r="K321" i="2" s="1"/>
  <c r="I322" i="2"/>
  <c r="K322" i="2" s="1"/>
  <c r="I323" i="2"/>
  <c r="K323" i="2" s="1"/>
  <c r="I324" i="2"/>
  <c r="K324" i="2" s="1"/>
  <c r="I325" i="2"/>
  <c r="K325" i="2" s="1"/>
  <c r="I326" i="2"/>
  <c r="K326" i="2" s="1"/>
  <c r="I327" i="2"/>
  <c r="K327" i="2" s="1"/>
  <c r="I328" i="2"/>
  <c r="K328" i="2" s="1"/>
  <c r="I329" i="2"/>
  <c r="K329" i="2" s="1"/>
  <c r="I330" i="2"/>
  <c r="K330" i="2" s="1"/>
  <c r="I331" i="2"/>
  <c r="K331" i="2" s="1"/>
  <c r="I332" i="2"/>
  <c r="K332" i="2" s="1"/>
  <c r="I333" i="2"/>
  <c r="K333" i="2" s="1"/>
  <c r="I334" i="2"/>
  <c r="K334" i="2" s="1"/>
  <c r="I335" i="2"/>
  <c r="K335" i="2" s="1"/>
  <c r="I336" i="2"/>
  <c r="K336" i="2" s="1"/>
  <c r="I337" i="2"/>
  <c r="K337" i="2" s="1"/>
  <c r="I338" i="2"/>
  <c r="K338" i="2" s="1"/>
  <c r="I339" i="2"/>
  <c r="K339" i="2" s="1"/>
  <c r="I340" i="2"/>
  <c r="K340" i="2" s="1"/>
  <c r="I341" i="2"/>
  <c r="K341" i="2" s="1"/>
  <c r="I342" i="2"/>
  <c r="K342" i="2" s="1"/>
  <c r="I343" i="2"/>
  <c r="K343" i="2" s="1"/>
  <c r="I344" i="2"/>
  <c r="K344" i="2" s="1"/>
  <c r="I345" i="2"/>
  <c r="K345" i="2" s="1"/>
  <c r="I346" i="2"/>
  <c r="K346" i="2" s="1"/>
  <c r="I347" i="2"/>
  <c r="K347" i="2" s="1"/>
  <c r="I348" i="2"/>
  <c r="K348" i="2" s="1"/>
  <c r="I349" i="2"/>
  <c r="K349" i="2" s="1"/>
  <c r="I350" i="2"/>
  <c r="K350" i="2" s="1"/>
  <c r="I351" i="2"/>
  <c r="K351" i="2" s="1"/>
  <c r="I352" i="2"/>
  <c r="K352" i="2" s="1"/>
  <c r="I353" i="2"/>
  <c r="K353" i="2" s="1"/>
  <c r="I354" i="2"/>
  <c r="K354" i="2" s="1"/>
  <c r="I355" i="2"/>
  <c r="K355" i="2" s="1"/>
  <c r="I356" i="2"/>
  <c r="K356" i="2" s="1"/>
  <c r="I357" i="2"/>
  <c r="K357" i="2" s="1"/>
  <c r="I358" i="2"/>
  <c r="K358" i="2" s="1"/>
  <c r="I359" i="2"/>
  <c r="K359" i="2" s="1"/>
  <c r="I360" i="2"/>
  <c r="K360" i="2" s="1"/>
  <c r="I361" i="2"/>
  <c r="K361" i="2" s="1"/>
  <c r="I362" i="2"/>
  <c r="K362" i="2" s="1"/>
  <c r="I363" i="2"/>
  <c r="K363" i="2" s="1"/>
  <c r="I364" i="2"/>
  <c r="K364" i="2" s="1"/>
  <c r="I365" i="2"/>
  <c r="K365" i="2" s="1"/>
  <c r="I366" i="2"/>
  <c r="K366" i="2" s="1"/>
  <c r="I367" i="2"/>
  <c r="K367" i="2" s="1"/>
  <c r="I368" i="2"/>
  <c r="K368" i="2" s="1"/>
  <c r="I369" i="2"/>
  <c r="K369" i="2" s="1"/>
  <c r="I370" i="2"/>
  <c r="K370" i="2" s="1"/>
  <c r="I371" i="2"/>
  <c r="K371" i="2" s="1"/>
  <c r="I372" i="2"/>
  <c r="K372" i="2" s="1"/>
  <c r="I373" i="2"/>
  <c r="K373" i="2" s="1"/>
  <c r="I374" i="2"/>
  <c r="K374" i="2" s="1"/>
  <c r="I375" i="2"/>
  <c r="K375" i="2" s="1"/>
  <c r="I376" i="2"/>
  <c r="K376" i="2" s="1"/>
  <c r="I377" i="2"/>
  <c r="K377" i="2" s="1"/>
  <c r="I378" i="2"/>
  <c r="K378" i="2" s="1"/>
  <c r="I379" i="2"/>
  <c r="K379" i="2" s="1"/>
  <c r="I380" i="2"/>
  <c r="K380" i="2" s="1"/>
  <c r="I381" i="2"/>
  <c r="K381" i="2" s="1"/>
  <c r="I382" i="2"/>
  <c r="K382" i="2" s="1"/>
  <c r="I383" i="2"/>
  <c r="K383" i="2" s="1"/>
  <c r="I384" i="2"/>
  <c r="K384" i="2" s="1"/>
  <c r="I385" i="2"/>
  <c r="K385" i="2" s="1"/>
  <c r="I386" i="2"/>
  <c r="K386" i="2" s="1"/>
  <c r="I387" i="2"/>
  <c r="K387" i="2" s="1"/>
  <c r="I388" i="2"/>
  <c r="K388" i="2" s="1"/>
  <c r="I389" i="2"/>
  <c r="K389" i="2" s="1"/>
  <c r="I390" i="2"/>
  <c r="K390" i="2" s="1"/>
  <c r="I391" i="2"/>
  <c r="K391" i="2" s="1"/>
  <c r="I392" i="2"/>
  <c r="K392" i="2" s="1"/>
  <c r="I393" i="2"/>
  <c r="K393" i="2" s="1"/>
  <c r="I394" i="2"/>
  <c r="K394" i="2" s="1"/>
  <c r="I395" i="2"/>
  <c r="K395" i="2" s="1"/>
  <c r="I396" i="2"/>
  <c r="K396" i="2" s="1"/>
  <c r="I397" i="2"/>
  <c r="K397" i="2" s="1"/>
  <c r="I398" i="2"/>
  <c r="K398" i="2" s="1"/>
  <c r="I399" i="2"/>
  <c r="K399" i="2" s="1"/>
  <c r="I400" i="2"/>
  <c r="K400" i="2" s="1"/>
  <c r="I401" i="2"/>
  <c r="K401" i="2" s="1"/>
  <c r="I402" i="2"/>
  <c r="K402" i="2" s="1"/>
  <c r="I403" i="2"/>
  <c r="K403" i="2" s="1"/>
  <c r="I404" i="2"/>
  <c r="K404" i="2" s="1"/>
  <c r="I405" i="2"/>
  <c r="K405" i="2" s="1"/>
  <c r="I406" i="2"/>
  <c r="K406" i="2" s="1"/>
  <c r="I407" i="2"/>
  <c r="K407" i="2" s="1"/>
  <c r="I408" i="2"/>
  <c r="K408" i="2" s="1"/>
  <c r="I409" i="2"/>
  <c r="K409" i="2" s="1"/>
  <c r="I410" i="2"/>
  <c r="K410" i="2" s="1"/>
  <c r="I411" i="2"/>
  <c r="K411" i="2" s="1"/>
  <c r="I412" i="2"/>
  <c r="K412" i="2" s="1"/>
  <c r="I413" i="2"/>
  <c r="K413" i="2" s="1"/>
  <c r="I414" i="2"/>
  <c r="K414" i="2" s="1"/>
  <c r="I415" i="2"/>
  <c r="K415" i="2" s="1"/>
  <c r="I416" i="2"/>
  <c r="K416" i="2" s="1"/>
  <c r="I417" i="2"/>
  <c r="K417" i="2" s="1"/>
  <c r="I418" i="2"/>
  <c r="K418" i="2" s="1"/>
  <c r="I419" i="2"/>
  <c r="K419" i="2" s="1"/>
  <c r="I420" i="2"/>
  <c r="K420" i="2" s="1"/>
  <c r="I421" i="2"/>
  <c r="K421" i="2" s="1"/>
  <c r="I422" i="2"/>
  <c r="K422" i="2" s="1"/>
  <c r="I423" i="2"/>
  <c r="K423" i="2" s="1"/>
  <c r="I424" i="2"/>
  <c r="K424" i="2" s="1"/>
  <c r="I425" i="2"/>
  <c r="K425" i="2" s="1"/>
  <c r="I426" i="2"/>
  <c r="K426" i="2" s="1"/>
  <c r="I427" i="2"/>
  <c r="K427" i="2" s="1"/>
  <c r="I428" i="2"/>
  <c r="K428" i="2" s="1"/>
  <c r="I429" i="2"/>
  <c r="K429" i="2" s="1"/>
  <c r="I430" i="2"/>
  <c r="K430" i="2" s="1"/>
  <c r="I431" i="2"/>
  <c r="K431" i="2" s="1"/>
  <c r="I432" i="2"/>
  <c r="K432" i="2" s="1"/>
  <c r="I433" i="2"/>
  <c r="K433" i="2" s="1"/>
  <c r="I434" i="2"/>
  <c r="K434" i="2" s="1"/>
  <c r="I435" i="2"/>
  <c r="K435" i="2" s="1"/>
  <c r="I436" i="2"/>
  <c r="K436" i="2" s="1"/>
  <c r="I437" i="2"/>
  <c r="K437" i="2" s="1"/>
  <c r="I438" i="2"/>
  <c r="K438" i="2" s="1"/>
  <c r="I439" i="2"/>
  <c r="K439" i="2" s="1"/>
  <c r="I440" i="2"/>
  <c r="K440" i="2" s="1"/>
  <c r="I441" i="2"/>
  <c r="K441" i="2" s="1"/>
  <c r="I442" i="2"/>
  <c r="K442" i="2" s="1"/>
  <c r="I443" i="2"/>
  <c r="K443" i="2" s="1"/>
  <c r="I444" i="2"/>
  <c r="K444" i="2" s="1"/>
  <c r="I445" i="2"/>
  <c r="K445" i="2" s="1"/>
  <c r="I446" i="2"/>
  <c r="K446" i="2" s="1"/>
  <c r="I447" i="2"/>
  <c r="K447" i="2" s="1"/>
  <c r="I448" i="2"/>
  <c r="K448" i="2" s="1"/>
  <c r="I449" i="2"/>
  <c r="K449" i="2" s="1"/>
  <c r="I450" i="2"/>
  <c r="K450" i="2" s="1"/>
  <c r="I451" i="2"/>
  <c r="K451" i="2" s="1"/>
  <c r="I452" i="2"/>
  <c r="K452" i="2" s="1"/>
  <c r="I453" i="2"/>
  <c r="K453" i="2" s="1"/>
  <c r="I454" i="2"/>
  <c r="K454" i="2" s="1"/>
  <c r="I455" i="2"/>
  <c r="K455" i="2" s="1"/>
  <c r="I456" i="2"/>
  <c r="K456" i="2" s="1"/>
  <c r="I457" i="2"/>
  <c r="K457" i="2" s="1"/>
  <c r="I458" i="2"/>
  <c r="K458" i="2" s="1"/>
  <c r="I459" i="2"/>
  <c r="K459" i="2" s="1"/>
  <c r="I460" i="2"/>
  <c r="K460" i="2" s="1"/>
  <c r="I461" i="2"/>
  <c r="K461" i="2" s="1"/>
  <c r="I462" i="2"/>
  <c r="K462" i="2" s="1"/>
  <c r="I463" i="2"/>
  <c r="K463" i="2" s="1"/>
  <c r="I464" i="2"/>
  <c r="K464" i="2" s="1"/>
  <c r="I465" i="2"/>
  <c r="K465" i="2" s="1"/>
  <c r="I466" i="2"/>
  <c r="K466" i="2" s="1"/>
  <c r="I467" i="2"/>
  <c r="K467" i="2" s="1"/>
  <c r="I468" i="2"/>
  <c r="K468" i="2" s="1"/>
  <c r="I469" i="2"/>
  <c r="K469" i="2" s="1"/>
  <c r="I470" i="2"/>
  <c r="K470" i="2" s="1"/>
  <c r="I471" i="2"/>
  <c r="K471" i="2" s="1"/>
  <c r="I472" i="2"/>
  <c r="K472" i="2" s="1"/>
  <c r="I473" i="2"/>
  <c r="K473" i="2" s="1"/>
  <c r="I474" i="2"/>
  <c r="K474" i="2" s="1"/>
  <c r="I475" i="2"/>
  <c r="K475" i="2" s="1"/>
  <c r="I476" i="2"/>
  <c r="K476" i="2" s="1"/>
  <c r="I477" i="2"/>
  <c r="K477" i="2" s="1"/>
  <c r="I478" i="2"/>
  <c r="K478" i="2" s="1"/>
  <c r="I479" i="2"/>
  <c r="K479" i="2" s="1"/>
  <c r="I480" i="2"/>
  <c r="K480" i="2" s="1"/>
  <c r="I481" i="2"/>
  <c r="K481" i="2" s="1"/>
  <c r="I482" i="2"/>
  <c r="K482" i="2" s="1"/>
  <c r="I483" i="2"/>
  <c r="K483" i="2" s="1"/>
  <c r="I484" i="2"/>
  <c r="K484" i="2" s="1"/>
  <c r="I485" i="2"/>
  <c r="K485" i="2" s="1"/>
  <c r="I486" i="2"/>
  <c r="K486" i="2" s="1"/>
  <c r="I487" i="2"/>
  <c r="K487" i="2" s="1"/>
  <c r="I488" i="2"/>
  <c r="K488" i="2" s="1"/>
  <c r="I489" i="2"/>
  <c r="K489" i="2" s="1"/>
  <c r="I490" i="2"/>
  <c r="K490" i="2" s="1"/>
  <c r="I491" i="2"/>
  <c r="K491" i="2" s="1"/>
  <c r="I492" i="2"/>
  <c r="K492" i="2" s="1"/>
  <c r="I493" i="2"/>
  <c r="K493" i="2" s="1"/>
  <c r="I494" i="2"/>
  <c r="K494" i="2" s="1"/>
  <c r="I495" i="2"/>
  <c r="K495" i="2" s="1"/>
  <c r="I496" i="2"/>
  <c r="K496" i="2" s="1"/>
  <c r="I497" i="2"/>
  <c r="K497" i="2" s="1"/>
  <c r="I498" i="2"/>
  <c r="K498" i="2" s="1"/>
  <c r="I499" i="2"/>
  <c r="K499" i="2" s="1"/>
  <c r="I500" i="2"/>
  <c r="K500" i="2" s="1"/>
  <c r="I501" i="2"/>
  <c r="K501" i="2" s="1"/>
  <c r="I502" i="2"/>
  <c r="K502" i="2" s="1"/>
  <c r="I503" i="2"/>
  <c r="K503" i="2" s="1"/>
  <c r="I504" i="2"/>
  <c r="K504" i="2" s="1"/>
  <c r="I505" i="2"/>
  <c r="K505" i="2" s="1"/>
  <c r="I506" i="2"/>
  <c r="K506" i="2" s="1"/>
  <c r="I507" i="2"/>
  <c r="K507" i="2" s="1"/>
  <c r="I508" i="2"/>
  <c r="K508" i="2" s="1"/>
  <c r="I509" i="2"/>
  <c r="K509" i="2" s="1"/>
  <c r="I510" i="2"/>
  <c r="K510" i="2" s="1"/>
  <c r="I511" i="2"/>
  <c r="K511" i="2" s="1"/>
  <c r="I512" i="2"/>
  <c r="K512" i="2" s="1"/>
  <c r="I513" i="2"/>
  <c r="K513" i="2" s="1"/>
  <c r="I514" i="2"/>
  <c r="K514" i="2" s="1"/>
  <c r="I515" i="2"/>
  <c r="K515" i="2" s="1"/>
  <c r="I516" i="2"/>
  <c r="K516" i="2" s="1"/>
  <c r="I517" i="2"/>
  <c r="K517" i="2" s="1"/>
  <c r="I518" i="2"/>
  <c r="K518" i="2" s="1"/>
  <c r="I519" i="2"/>
  <c r="K519" i="2" s="1"/>
  <c r="I520" i="2"/>
  <c r="K520" i="2" s="1"/>
  <c r="I521" i="2"/>
  <c r="K521" i="2" s="1"/>
  <c r="I522" i="2"/>
  <c r="K522" i="2" s="1"/>
  <c r="I523" i="2"/>
  <c r="K523" i="2" s="1"/>
  <c r="I524" i="2"/>
  <c r="K524" i="2" s="1"/>
  <c r="I525" i="2"/>
  <c r="K525" i="2" s="1"/>
  <c r="I526" i="2"/>
  <c r="K526" i="2" s="1"/>
  <c r="I527" i="2"/>
  <c r="K527" i="2" s="1"/>
  <c r="I528" i="2"/>
  <c r="K528" i="2" s="1"/>
  <c r="I529" i="2"/>
  <c r="K529" i="2" s="1"/>
  <c r="I530" i="2"/>
  <c r="K530" i="2" s="1"/>
  <c r="I531" i="2"/>
  <c r="K531" i="2" s="1"/>
  <c r="I532" i="2"/>
  <c r="K532" i="2" s="1"/>
  <c r="I533" i="2"/>
  <c r="K533" i="2" s="1"/>
  <c r="I534" i="2"/>
  <c r="K534" i="2" s="1"/>
  <c r="I535" i="2"/>
  <c r="K535" i="2" s="1"/>
  <c r="I536" i="2"/>
  <c r="K536" i="2" s="1"/>
  <c r="I537" i="2"/>
  <c r="K537" i="2" s="1"/>
  <c r="I538" i="2"/>
  <c r="K538" i="2" s="1"/>
  <c r="I539" i="2"/>
  <c r="K539" i="2" s="1"/>
  <c r="I540" i="2"/>
  <c r="K540" i="2" s="1"/>
  <c r="I541" i="2"/>
  <c r="K541" i="2" s="1"/>
  <c r="I542" i="2"/>
  <c r="K542" i="2" s="1"/>
  <c r="I543" i="2"/>
  <c r="K543" i="2" s="1"/>
  <c r="I544" i="2"/>
  <c r="K544" i="2" s="1"/>
  <c r="I545" i="2"/>
  <c r="K545" i="2" s="1"/>
  <c r="I546" i="2"/>
  <c r="K546" i="2" s="1"/>
  <c r="I547" i="2"/>
  <c r="K547" i="2" s="1"/>
  <c r="I548" i="2"/>
  <c r="K548" i="2" s="1"/>
  <c r="I549" i="2"/>
  <c r="K549" i="2" s="1"/>
  <c r="I550" i="2"/>
  <c r="K550" i="2" s="1"/>
  <c r="I551" i="2"/>
  <c r="K551" i="2" s="1"/>
  <c r="I552" i="2"/>
  <c r="K552" i="2" s="1"/>
  <c r="I553" i="2"/>
  <c r="K553" i="2" s="1"/>
  <c r="I554" i="2"/>
  <c r="K554" i="2" s="1"/>
  <c r="I555" i="2"/>
  <c r="K555" i="2" s="1"/>
  <c r="I556" i="2"/>
  <c r="K556" i="2" s="1"/>
  <c r="I557" i="2"/>
  <c r="K557" i="2" s="1"/>
  <c r="I558" i="2"/>
  <c r="K558" i="2" s="1"/>
  <c r="I559" i="2"/>
  <c r="K559" i="2" s="1"/>
  <c r="I560" i="2"/>
  <c r="K560" i="2" s="1"/>
  <c r="I561" i="2"/>
  <c r="K561" i="2" s="1"/>
  <c r="I562" i="2"/>
  <c r="K562" i="2" s="1"/>
  <c r="I563" i="2"/>
  <c r="K563" i="2" s="1"/>
  <c r="I564" i="2"/>
  <c r="K564" i="2" s="1"/>
  <c r="I565" i="2"/>
  <c r="K565" i="2" s="1"/>
  <c r="I566" i="2"/>
  <c r="K566" i="2" s="1"/>
  <c r="I567" i="2"/>
  <c r="K567" i="2" s="1"/>
  <c r="I568" i="2"/>
  <c r="K568" i="2" s="1"/>
  <c r="I569" i="2"/>
  <c r="K569" i="2" s="1"/>
  <c r="I570" i="2"/>
  <c r="K570" i="2" s="1"/>
  <c r="I571" i="2"/>
  <c r="K571" i="2" s="1"/>
  <c r="I572" i="2"/>
  <c r="K572" i="2" s="1"/>
  <c r="I573" i="2"/>
  <c r="K573" i="2" s="1"/>
  <c r="I574" i="2"/>
  <c r="K574" i="2" s="1"/>
  <c r="I575" i="2"/>
  <c r="K575" i="2" s="1"/>
  <c r="I576" i="2"/>
  <c r="K576" i="2" s="1"/>
  <c r="I577" i="2"/>
  <c r="K577" i="2" s="1"/>
  <c r="I578" i="2"/>
  <c r="K578" i="2" s="1"/>
  <c r="I579" i="2"/>
  <c r="K579" i="2" s="1"/>
  <c r="I580" i="2"/>
  <c r="K580" i="2" s="1"/>
  <c r="I581" i="2"/>
  <c r="K581" i="2" s="1"/>
  <c r="I582" i="2"/>
  <c r="K582" i="2" s="1"/>
  <c r="I583" i="2"/>
  <c r="K583" i="2" s="1"/>
  <c r="I584" i="2"/>
  <c r="K584" i="2" s="1"/>
  <c r="I585" i="2"/>
  <c r="K585" i="2" s="1"/>
  <c r="I586" i="2"/>
  <c r="K586" i="2" s="1"/>
  <c r="I587" i="2"/>
  <c r="K587" i="2" s="1"/>
  <c r="I588" i="2"/>
  <c r="K588" i="2" s="1"/>
  <c r="I589" i="2"/>
  <c r="K589" i="2" s="1"/>
  <c r="I590" i="2"/>
  <c r="K590" i="2" s="1"/>
  <c r="I591" i="2"/>
  <c r="K591" i="2" s="1"/>
  <c r="I592" i="2"/>
  <c r="K592" i="2" s="1"/>
  <c r="I593" i="2"/>
  <c r="K593" i="2" s="1"/>
  <c r="I594" i="2"/>
  <c r="K594" i="2" s="1"/>
  <c r="I595" i="2"/>
  <c r="K595" i="2" s="1"/>
  <c r="I596" i="2"/>
  <c r="K596" i="2" s="1"/>
  <c r="I597" i="2"/>
  <c r="K597" i="2" s="1"/>
  <c r="I598" i="2"/>
  <c r="K598" i="2" s="1"/>
  <c r="I599" i="2"/>
  <c r="K599" i="2" s="1"/>
  <c r="I600" i="2"/>
  <c r="K600" i="2" s="1"/>
  <c r="I601" i="2"/>
  <c r="K601" i="2" s="1"/>
  <c r="I602" i="2"/>
  <c r="K602" i="2" s="1"/>
  <c r="I603" i="2"/>
  <c r="K603" i="2" s="1"/>
  <c r="I604" i="2"/>
  <c r="K604" i="2" s="1"/>
  <c r="I605" i="2"/>
  <c r="K605" i="2" s="1"/>
  <c r="I606" i="2"/>
  <c r="K606" i="2" s="1"/>
  <c r="I607" i="2"/>
  <c r="K607" i="2" s="1"/>
  <c r="I608" i="2"/>
  <c r="K608" i="2" s="1"/>
  <c r="I609" i="2"/>
  <c r="K609" i="2" s="1"/>
  <c r="I610" i="2"/>
  <c r="K610" i="2" s="1"/>
  <c r="I611" i="2"/>
  <c r="K611" i="2" s="1"/>
  <c r="I612" i="2"/>
  <c r="K612" i="2" s="1"/>
  <c r="I613" i="2"/>
  <c r="K613" i="2" s="1"/>
  <c r="I614" i="2"/>
  <c r="K614" i="2" s="1"/>
  <c r="I615" i="2"/>
  <c r="K615" i="2" s="1"/>
  <c r="I616" i="2"/>
  <c r="K616" i="2" s="1"/>
  <c r="I617" i="2"/>
  <c r="K617" i="2" s="1"/>
  <c r="I618" i="2"/>
  <c r="K618" i="2" s="1"/>
  <c r="I619" i="2"/>
  <c r="K619" i="2" s="1"/>
  <c r="I620" i="2"/>
  <c r="K620" i="2" s="1"/>
  <c r="I621" i="2"/>
  <c r="K621" i="2" s="1"/>
  <c r="I622" i="2"/>
  <c r="K622" i="2" s="1"/>
  <c r="I623" i="2"/>
  <c r="K623" i="2" s="1"/>
  <c r="I624" i="2"/>
  <c r="K624" i="2" s="1"/>
  <c r="I625" i="2"/>
  <c r="K625" i="2" s="1"/>
  <c r="I626" i="2"/>
  <c r="K626" i="2" s="1"/>
  <c r="I627" i="2"/>
  <c r="K627" i="2" s="1"/>
  <c r="I628" i="2"/>
  <c r="K628" i="2" s="1"/>
  <c r="I629" i="2"/>
  <c r="K629" i="2" s="1"/>
  <c r="I630" i="2"/>
  <c r="K630" i="2" s="1"/>
  <c r="I631" i="2"/>
  <c r="K631" i="2" s="1"/>
  <c r="I632" i="2"/>
  <c r="K632" i="2" s="1"/>
  <c r="I633" i="2"/>
  <c r="K633" i="2" s="1"/>
  <c r="I634" i="2"/>
  <c r="K634" i="2" s="1"/>
  <c r="I635" i="2"/>
  <c r="K635" i="2" s="1"/>
  <c r="I636" i="2"/>
  <c r="K636" i="2" s="1"/>
  <c r="I637" i="2"/>
  <c r="K637" i="2" s="1"/>
  <c r="I638" i="2"/>
  <c r="K638" i="2" s="1"/>
  <c r="I639" i="2"/>
  <c r="K639" i="2" s="1"/>
  <c r="I640" i="2"/>
  <c r="K640" i="2" s="1"/>
  <c r="I641" i="2"/>
  <c r="K641" i="2" s="1"/>
  <c r="I642" i="2"/>
  <c r="K642" i="2" s="1"/>
  <c r="I643" i="2"/>
  <c r="K643" i="2" s="1"/>
  <c r="I644" i="2"/>
  <c r="K644" i="2" s="1"/>
  <c r="I645" i="2"/>
  <c r="K645" i="2" s="1"/>
  <c r="I646" i="2"/>
  <c r="K646" i="2" s="1"/>
  <c r="I647" i="2"/>
  <c r="K647" i="2" s="1"/>
  <c r="I648" i="2"/>
  <c r="K648" i="2" s="1"/>
  <c r="I649" i="2"/>
  <c r="K649" i="2" s="1"/>
  <c r="I650" i="2"/>
  <c r="K650" i="2" s="1"/>
  <c r="I651" i="2"/>
  <c r="K651" i="2" s="1"/>
  <c r="I652" i="2"/>
  <c r="K652" i="2" s="1"/>
  <c r="I653" i="2"/>
  <c r="K653" i="2" s="1"/>
  <c r="I654" i="2"/>
  <c r="K654" i="2" s="1"/>
  <c r="I655" i="2"/>
  <c r="K655" i="2" s="1"/>
  <c r="I656" i="2"/>
  <c r="K656" i="2" s="1"/>
  <c r="I657" i="2"/>
  <c r="K657" i="2" s="1"/>
  <c r="I658" i="2"/>
  <c r="K658" i="2" s="1"/>
  <c r="I659" i="2"/>
  <c r="K659" i="2" s="1"/>
  <c r="I660" i="2"/>
  <c r="K660" i="2" s="1"/>
  <c r="I661" i="2"/>
  <c r="K661" i="2" s="1"/>
  <c r="I662" i="2"/>
  <c r="K662" i="2" s="1"/>
  <c r="I663" i="2"/>
  <c r="K663" i="2" s="1"/>
  <c r="I664" i="2"/>
  <c r="K664" i="2" s="1"/>
  <c r="I665" i="2"/>
  <c r="K665" i="2" s="1"/>
  <c r="I666" i="2"/>
  <c r="K666" i="2" s="1"/>
  <c r="I667" i="2"/>
  <c r="K667" i="2" s="1"/>
  <c r="I668" i="2"/>
  <c r="K668" i="2" s="1"/>
  <c r="I669" i="2"/>
  <c r="K669" i="2" s="1"/>
  <c r="I670" i="2"/>
  <c r="K670" i="2" s="1"/>
  <c r="I671" i="2"/>
  <c r="K671" i="2" s="1"/>
  <c r="I672" i="2"/>
  <c r="K672" i="2" s="1"/>
  <c r="I673" i="2"/>
  <c r="K673" i="2" s="1"/>
  <c r="I674" i="2"/>
  <c r="K674" i="2" s="1"/>
  <c r="I675" i="2"/>
  <c r="K675" i="2" s="1"/>
  <c r="I676" i="2"/>
  <c r="K676" i="2" s="1"/>
  <c r="I677" i="2"/>
  <c r="K677" i="2" s="1"/>
  <c r="I678" i="2"/>
  <c r="K678" i="2" s="1"/>
  <c r="I679" i="2"/>
  <c r="K679" i="2" s="1"/>
  <c r="I680" i="2"/>
  <c r="K680" i="2" s="1"/>
  <c r="I681" i="2"/>
  <c r="K681" i="2" s="1"/>
  <c r="I682" i="2"/>
  <c r="K682" i="2" s="1"/>
  <c r="I683" i="2"/>
  <c r="K683" i="2" s="1"/>
  <c r="I684" i="2"/>
  <c r="K684" i="2" s="1"/>
  <c r="I685" i="2"/>
  <c r="K685" i="2" s="1"/>
  <c r="I686" i="2"/>
  <c r="K686" i="2" s="1"/>
  <c r="I687" i="2"/>
  <c r="K687" i="2" s="1"/>
  <c r="I688" i="2"/>
  <c r="K688" i="2" s="1"/>
  <c r="I689" i="2"/>
  <c r="K689" i="2" s="1"/>
  <c r="I690" i="2"/>
  <c r="K690" i="2" s="1"/>
  <c r="I691" i="2"/>
  <c r="K691" i="2" s="1"/>
  <c r="I692" i="2"/>
  <c r="K692" i="2" s="1"/>
  <c r="I693" i="2"/>
  <c r="K693" i="2" s="1"/>
  <c r="I694" i="2"/>
  <c r="K694" i="2" s="1"/>
  <c r="I695" i="2"/>
  <c r="K695" i="2" s="1"/>
  <c r="I696" i="2"/>
  <c r="K696" i="2" s="1"/>
  <c r="I697" i="2"/>
  <c r="K697" i="2" s="1"/>
  <c r="I698" i="2"/>
  <c r="K698" i="2" s="1"/>
  <c r="I699" i="2"/>
  <c r="K699" i="2" s="1"/>
  <c r="I700" i="2"/>
  <c r="K700" i="2" s="1"/>
  <c r="I701" i="2"/>
  <c r="K701" i="2" s="1"/>
  <c r="I702" i="2"/>
  <c r="K702" i="2" s="1"/>
  <c r="I703" i="2"/>
  <c r="K703" i="2" s="1"/>
  <c r="I704" i="2"/>
  <c r="K704" i="2" s="1"/>
  <c r="I705" i="2"/>
  <c r="K705" i="2" s="1"/>
  <c r="I706" i="2"/>
  <c r="K706" i="2" s="1"/>
  <c r="I707" i="2"/>
  <c r="K707" i="2" s="1"/>
  <c r="I708" i="2"/>
  <c r="K708" i="2" s="1"/>
  <c r="I709" i="2"/>
  <c r="K709" i="2" s="1"/>
  <c r="I710" i="2"/>
  <c r="K710" i="2" s="1"/>
  <c r="I711" i="2"/>
  <c r="K711" i="2" s="1"/>
  <c r="I712" i="2"/>
  <c r="K712" i="2" s="1"/>
  <c r="I713" i="2"/>
  <c r="K713" i="2" s="1"/>
  <c r="I714" i="2"/>
  <c r="K714" i="2" s="1"/>
  <c r="I715" i="2"/>
  <c r="K715" i="2" s="1"/>
  <c r="I716" i="2"/>
  <c r="K716" i="2" s="1"/>
  <c r="I717" i="2"/>
  <c r="K717" i="2" s="1"/>
  <c r="I718" i="2"/>
  <c r="K718" i="2" s="1"/>
  <c r="I719" i="2"/>
  <c r="K719" i="2" s="1"/>
  <c r="I720" i="2"/>
  <c r="K720" i="2" s="1"/>
  <c r="I721" i="2"/>
  <c r="K721" i="2" s="1"/>
  <c r="I722" i="2"/>
  <c r="K722" i="2" s="1"/>
  <c r="I723" i="2"/>
  <c r="K723" i="2" s="1"/>
  <c r="I724" i="2"/>
  <c r="K724" i="2" s="1"/>
  <c r="I725" i="2"/>
  <c r="K725" i="2" s="1"/>
  <c r="I726" i="2"/>
  <c r="K726" i="2" s="1"/>
  <c r="I727" i="2"/>
  <c r="K727" i="2" s="1"/>
  <c r="I728" i="2"/>
  <c r="K728" i="2" s="1"/>
  <c r="I729" i="2"/>
  <c r="K729" i="2" s="1"/>
  <c r="I730" i="2"/>
  <c r="K730" i="2" s="1"/>
  <c r="I731" i="2"/>
  <c r="K731" i="2" s="1"/>
  <c r="I732" i="2"/>
  <c r="K732" i="2" s="1"/>
  <c r="I733" i="2"/>
  <c r="K733" i="2" s="1"/>
  <c r="I734" i="2"/>
  <c r="K734" i="2" s="1"/>
  <c r="I735" i="2"/>
  <c r="K735" i="2" s="1"/>
  <c r="I736" i="2"/>
  <c r="K736" i="2" s="1"/>
  <c r="I737" i="2"/>
  <c r="K737" i="2" s="1"/>
  <c r="I738" i="2"/>
  <c r="K738" i="2" s="1"/>
  <c r="I739" i="2"/>
  <c r="K739" i="2" s="1"/>
  <c r="I740" i="2"/>
  <c r="K740" i="2" s="1"/>
  <c r="I741" i="2"/>
  <c r="K741" i="2" s="1"/>
  <c r="I742" i="2"/>
  <c r="K742" i="2" s="1"/>
  <c r="I743" i="2"/>
  <c r="K743" i="2" s="1"/>
  <c r="I744" i="2"/>
  <c r="K744" i="2" s="1"/>
  <c r="I745" i="2"/>
  <c r="K745" i="2" s="1"/>
  <c r="I746" i="2"/>
  <c r="K746" i="2" s="1"/>
  <c r="I747" i="2"/>
  <c r="K747" i="2" s="1"/>
  <c r="I748" i="2"/>
  <c r="K748" i="2" s="1"/>
  <c r="I749" i="2"/>
  <c r="K749" i="2" s="1"/>
  <c r="I750" i="2"/>
  <c r="K750" i="2" s="1"/>
  <c r="I751" i="2"/>
  <c r="K751" i="2" s="1"/>
  <c r="I752" i="2"/>
  <c r="K752" i="2" s="1"/>
  <c r="I753" i="2"/>
  <c r="K753" i="2" s="1"/>
  <c r="I754" i="2"/>
  <c r="K754" i="2" s="1"/>
  <c r="I755" i="2"/>
  <c r="K755" i="2" s="1"/>
  <c r="I756" i="2"/>
  <c r="K756" i="2" s="1"/>
  <c r="I757" i="2"/>
  <c r="K757" i="2" s="1"/>
  <c r="I758" i="2"/>
  <c r="K758" i="2" s="1"/>
  <c r="I759" i="2"/>
  <c r="K759" i="2" s="1"/>
  <c r="I761" i="2"/>
  <c r="K761" i="2" s="1"/>
  <c r="I762" i="2"/>
  <c r="K762" i="2" s="1"/>
  <c r="I763" i="2"/>
  <c r="K763" i="2" s="1"/>
  <c r="I2" i="2"/>
  <c r="G4" i="2"/>
  <c r="G3" i="2"/>
  <c r="G5" i="2"/>
  <c r="G6" i="2"/>
  <c r="G8" i="2"/>
  <c r="G9" i="2"/>
  <c r="G10"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F3"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2" i="2"/>
  <c r="G2" i="2"/>
  <c r="F16" i="18" l="1" a="1"/>
  <c r="F16" i="18" s="1"/>
  <c r="F17" i="18" a="1"/>
  <c r="F17" i="18" s="1"/>
  <c r="F5" i="18" a="1"/>
  <c r="F5" i="18" s="1"/>
  <c r="F8" i="18" a="1"/>
  <c r="F8" i="18" s="1"/>
  <c r="F9" i="18" a="1"/>
  <c r="F9" i="18" s="1"/>
  <c r="F6" i="18" a="1"/>
  <c r="F6" i="18" s="1"/>
  <c r="F7" i="18" a="1"/>
  <c r="F7" i="18" s="1"/>
  <c r="F11" i="18" a="1"/>
  <c r="F11" i="18" s="1"/>
  <c r="F12" i="18" a="1"/>
  <c r="F12" i="18" s="1"/>
  <c r="F10" i="18" a="1"/>
  <c r="F10" i="18" s="1"/>
  <c r="F13" i="18" a="1"/>
  <c r="F13" i="18" s="1"/>
  <c r="F14" i="18" a="1"/>
  <c r="F14" i="18" s="1"/>
  <c r="F15" i="18" a="1"/>
  <c r="F15" i="18" s="1"/>
  <c r="E6" i="18"/>
  <c r="E11" i="18"/>
  <c r="E15" i="18"/>
  <c r="E17" i="18"/>
  <c r="E7" i="18"/>
  <c r="E14" i="18"/>
  <c r="E8" i="18"/>
  <c r="E9" i="18"/>
  <c r="E13" i="18"/>
  <c r="E5" i="18"/>
  <c r="E10" i="18"/>
  <c r="E12" i="18"/>
  <c r="E16" i="18"/>
  <c r="H6" i="19"/>
  <c r="H7" i="19"/>
  <c r="H9" i="19"/>
  <c r="H8" i="19"/>
  <c r="H11" i="19"/>
  <c r="H12" i="19"/>
  <c r="H13" i="19"/>
  <c r="H14" i="19"/>
  <c r="H15" i="19"/>
  <c r="H16" i="19"/>
  <c r="H17" i="19"/>
  <c r="H18" i="19"/>
  <c r="H19" i="19"/>
  <c r="H10" i="19"/>
  <c r="F7" i="19"/>
  <c r="F8" i="19"/>
  <c r="F9" i="19"/>
  <c r="F10" i="19"/>
  <c r="F11" i="19"/>
  <c r="F12" i="19"/>
  <c r="F13" i="19"/>
  <c r="F14" i="19"/>
  <c r="F15" i="19"/>
  <c r="F16" i="19"/>
  <c r="F17" i="19"/>
  <c r="F18" i="19"/>
  <c r="F19" i="19"/>
  <c r="F6" i="19"/>
  <c r="F6" i="16"/>
  <c r="K2" i="2"/>
  <c r="K911" i="2" s="1"/>
  <c r="I911" i="2"/>
  <c r="F11" i="16"/>
  <c r="F10" i="16"/>
  <c r="F8" i="16"/>
  <c r="F12" i="16"/>
  <c r="F7" i="16"/>
  <c r="F9" i="16"/>
  <c r="D6" i="13"/>
  <c r="I6" i="13"/>
  <c r="I7" i="13" s="1"/>
  <c r="I12" i="19" l="1"/>
  <c r="E10" i="17"/>
  <c r="D7" i="13"/>
  <c r="G9" i="17"/>
  <c r="E18" i="18"/>
  <c r="I19" i="19"/>
  <c r="G8" i="18"/>
  <c r="G9" i="18"/>
  <c r="G12" i="18"/>
  <c r="G7" i="18"/>
  <c r="G15" i="18"/>
  <c r="G17" i="18"/>
  <c r="G6" i="18"/>
  <c r="G11" i="18"/>
  <c r="G13" i="18"/>
  <c r="G16" i="18"/>
  <c r="G14" i="18"/>
  <c r="G10" i="18"/>
  <c r="G5" i="18"/>
  <c r="I14" i="19"/>
  <c r="I7" i="19"/>
  <c r="I11" i="19"/>
  <c r="I18" i="19"/>
  <c r="I16" i="19"/>
  <c r="I8" i="19"/>
  <c r="I10" i="19"/>
  <c r="I13" i="19"/>
  <c r="I17" i="19"/>
  <c r="I15" i="19"/>
  <c r="I9" i="19"/>
  <c r="F13" i="16"/>
  <c r="N6" i="13"/>
  <c r="N7" i="13" l="1"/>
  <c r="G5" i="17"/>
  <c r="E6" i="17"/>
  <c r="G11" i="17"/>
  <c r="G7" i="17"/>
  <c r="E8" i="17"/>
  <c r="H12" i="16"/>
  <c r="H11" i="16"/>
  <c r="H9" i="16"/>
  <c r="H10" i="16"/>
  <c r="H6" i="16"/>
  <c r="H8" i="16"/>
  <c r="H7" i="16"/>
  <c r="I6" i="19"/>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futureMetadata name="XLDAPR" count="1">
    <bk>
      <extLst>
        <ext uri="{bdbb8cdc-fa1e-496e-a857-3c3f30c029c3}">
          <xda:dynamicArrayProperties fDynamic="1" fCollapsed="0"/>
        </ext>
      </extLst>
    </bk>
  </futureMetadata>
  <cellMetadata count="1">
    <bk>
      <rc t="2" v="0"/>
    </bk>
  </cell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<sst xmlns="http://schemas.openxmlformats.org/spreadsheetml/2006/main" count="1049" uniqueCount="502">
  <si>
    <t>Month</t>
  </si>
  <si>
    <t>Category</t>
  </si>
  <si>
    <t>Investment Outflow</t>
  </si>
  <si>
    <t>Debit</t>
  </si>
  <si>
    <t>Credit</t>
  </si>
  <si>
    <t>UPI Expense</t>
  </si>
  <si>
    <t>EMI</t>
  </si>
  <si>
    <t>Date</t>
  </si>
  <si>
    <t>Details</t>
  </si>
  <si>
    <t>Balance</t>
  </si>
  <si>
    <t>Type (Income/Expense)</t>
  </si>
  <si>
    <t>Amount</t>
  </si>
  <si>
    <t>Month(Proper)</t>
  </si>
  <si>
    <t>Amount(Positive)</t>
  </si>
  <si>
    <t xml:space="preserve">  Personal Finance Dashboard</t>
  </si>
  <si>
    <t>Total Income</t>
  </si>
  <si>
    <t>Total Expense</t>
  </si>
  <si>
    <t>Net Saving</t>
  </si>
  <si>
    <t>Total Transactions</t>
  </si>
  <si>
    <t>Home</t>
  </si>
  <si>
    <t>Overview</t>
  </si>
  <si>
    <t>Income</t>
  </si>
  <si>
    <t>Expense</t>
  </si>
  <si>
    <t>Trends</t>
  </si>
  <si>
    <t>Financial Overview April 2025 - 2026</t>
  </si>
  <si>
    <t>Financial Health Score</t>
  </si>
  <si>
    <t>Key Insights</t>
  </si>
  <si>
    <t xml:space="preserve">Saving Rate </t>
  </si>
  <si>
    <t>Deficit Dominance</t>
  </si>
  <si>
    <t>11 of 13 months ran a deficit. Only Apr-2025 &amp; Oct-2025 were cash-positive.</t>
  </si>
  <si>
    <t>Income Stability</t>
  </si>
  <si>
    <t>UPI Expense Dominance</t>
  </si>
  <si>
    <t>Expense Control</t>
  </si>
  <si>
    <r>
      <rPr>
        <b/>
        <sz val="16"/>
        <color theme="4" tint="0.39997558519241921"/>
        <rFont val="Calibri"/>
        <family val="2"/>
        <scheme val="minor"/>
      </rPr>
      <t>53.6%</t>
    </r>
    <r>
      <rPr>
        <sz val="16"/>
        <color theme="4" tint="0.39997558519241921"/>
        <rFont val="Calibri"/>
        <family val="2"/>
        <scheme val="minor"/>
      </rPr>
      <t xml:space="preserve"> of all expenses are UPI (₹26.03L). Merchant breakdown needed for real control.</t>
    </r>
  </si>
  <si>
    <t>Overall Score</t>
  </si>
  <si>
    <t>Stable Salary Base</t>
  </si>
  <si>
    <r>
      <t xml:space="preserve">Salary stayed between </t>
    </r>
    <r>
      <rPr>
        <b/>
        <sz val="16"/>
        <color theme="4" tint="0.39997558519241921"/>
        <rFont val="Calibri"/>
        <family val="2"/>
        <scheme val="minor"/>
      </rPr>
      <t xml:space="preserve">₹1.09L–₹1.30L </t>
    </r>
    <r>
      <rPr>
        <sz val="16"/>
        <color theme="4" tint="0.39997558519241921"/>
        <rFont val="Calibri"/>
        <family val="2"/>
        <scheme val="minor"/>
      </rPr>
      <t>consistently (excluding Mar-2026 anomaly). Reason  for March 2026 mentioned in Income section.</t>
    </r>
  </si>
  <si>
    <t>Needs Improvement</t>
  </si>
  <si>
    <t>Rising EMI burden</t>
  </si>
  <si>
    <r>
      <t xml:space="preserve">New loan in late 2025 pushed </t>
    </r>
    <r>
      <rPr>
        <b/>
        <sz val="16"/>
        <color theme="4" tint="0.39997558519241921"/>
        <rFont val="Calibri"/>
        <family val="2"/>
        <scheme val="minor"/>
      </rPr>
      <t>Feb–Apr 2026</t>
    </r>
    <r>
      <rPr>
        <sz val="16"/>
        <color theme="4" tint="0.39997558519241921"/>
        <rFont val="Calibri"/>
        <family val="2"/>
        <scheme val="minor"/>
      </rPr>
      <t xml:space="preserve"> monthly losses to </t>
    </r>
    <r>
      <rPr>
        <b/>
        <sz val="16"/>
        <color theme="4" tint="0.39997558519241921"/>
        <rFont val="Calibri"/>
        <family val="2"/>
        <scheme val="minor"/>
      </rPr>
      <t>₹4.4L–₹5.4L.</t>
    </r>
  </si>
  <si>
    <t>Financial Timeline   .   Major Events</t>
  </si>
  <si>
    <t>Income Spike</t>
  </si>
  <si>
    <t>Expense Surge</t>
  </si>
  <si>
    <t>Best Savings</t>
  </si>
  <si>
    <t>New Loan</t>
  </si>
  <si>
    <t>Salary Anomaly</t>
  </si>
  <si>
    <t>Worst Month</t>
  </si>
  <si>
    <t>₹3.11L income. Investment return included.</t>
  </si>
  <si>
    <t>Deficit of ₹2.18L. Expenses spiked.</t>
  </si>
  <si>
    <t>Only +₹58K positive month.</t>
  </si>
  <si>
    <t>EMI Burden rises from here</t>
  </si>
  <si>
    <t>₹0 salary. Delayed to Apr-2026</t>
  </si>
  <si>
    <t>₹6.83L expense. Deficit ₹4.43L.</t>
  </si>
  <si>
    <t>Income Analysis</t>
  </si>
  <si>
    <t>Apr 2025 – May 2026   ·   Total Income: ₹18,64,604   ·   2 Sources</t>
  </si>
  <si>
    <t>Salary Income</t>
  </si>
  <si>
    <t xml:space="preserve">Investment Return </t>
  </si>
  <si>
    <t>Income Concentration Risk</t>
  </si>
  <si>
    <t>Salary contributes 88.8% of total income (₹16,56,298), indicating strong dependence on a single income source, while investment returns remain limited at 11.2% and occur in only 3 months — highlighting low passive income generation.</t>
  </si>
  <si>
    <t>March 2026 shows ₹0 salary income due to a delayed salary credit received in April 2026; excluding this anomaly, monthly salary remained consistently between ₹1.09L and ₹1.30L, indicating stable income throughout the period.</t>
  </si>
  <si>
    <t>Expense Analysis</t>
  </si>
  <si>
    <t>Apr 2025 – May 2026   ·   Total Expense: ₹19,06,086   ·   7 Categories</t>
  </si>
  <si>
    <t>Expense Breakdown By Category</t>
  </si>
  <si>
    <t>% Share</t>
  </si>
  <si>
    <t>Cash</t>
  </si>
  <si>
    <t>Transfer</t>
  </si>
  <si>
    <t>Loan Payment</t>
  </si>
  <si>
    <t>Other</t>
  </si>
  <si>
    <t>Total</t>
  </si>
  <si>
    <t>Key Expense Insights</t>
  </si>
  <si>
    <t>UPI spending is the largest expense category, contributing 53.6% of total outflows (₹26,03,908) — almost twice the EMI burden. The absence of merchant-level categorization limits visibility into actual spending behavior, making this the highest-impact area for cost control and savings improvement.</t>
  </si>
  <si>
    <t>EMI and Loan Burden</t>
  </si>
  <si>
    <t>EMI and loan payments together contribute 24.9% of total outflows (₹11,26,079), meaning nearly one-fourth of all spending is directed toward debt servicing. Combined with the exceptionally high UPI expenditure, this significantly reduces the capacity for savings and investments. Optimizing repayment strategies — such as consolidating or prepaying high-interest loans — could meaningfully improve monthly cash flow and financial flexibility.</t>
  </si>
  <si>
    <t>Saving opportunity</t>
  </si>
  <si>
    <t>UPI and cash expenses together contribute 62% of total outflows (₹30,12,908); even a 20% reduction in these categories could generate annual savings of approximately ₹6 lakh without affecting fixed obligations.</t>
  </si>
  <si>
    <t>Trends And Analysis</t>
  </si>
  <si>
    <t>Savings</t>
  </si>
  <si>
    <t>11 Out of 13 Months Recorded a Deficit: Only Apr-2025 (₹48,182) and Oct-2025 (₹58,464) achieved positive savings. All remaining 11 months ran a deficit, with the worst stretch being Feb–Apr 2026 where monthly losses ranged from ₹4.4L to ₹5.4L — driven by a sharp rise in EMI burden following a new loan taken in late 2025.</t>
  </si>
  <si>
    <t>Stable Income but Extremely Fluctuating Expenses</t>
  </si>
  <si>
    <t>Monthly income remained mostly between ₹1.09L and ₹1.30L with no major growth during the year, while expenses varied drastically from ₹66K to ₹6.83L. Both Apr-2025 and Apr-2026 show unusually high income because March salary was likely credited late and received in April, which also explains the comparatively lower income in the March months.</t>
  </si>
  <si>
    <t>Monthly Expense by Category</t>
  </si>
  <si>
    <t>Sum of Amount(Positive)</t>
  </si>
  <si>
    <t>Column Labels</t>
  </si>
  <si>
    <t>Row Labels</t>
  </si>
  <si>
    <t>Expense Breakdown by Category</t>
  </si>
  <si>
    <t>Investment (Outflow)</t>
  </si>
  <si>
    <t>Grand Total</t>
  </si>
  <si>
    <t>Net Saving Trend</t>
  </si>
  <si>
    <t>Months</t>
  </si>
  <si>
    <t>DEBIT ACHDr YESB TP ACH INDIANE</t>
  </si>
  <si>
    <t>DEBIT ACHDr NACH ETMONEY</t>
  </si>
  <si>
    <t>DIRECT DR OF Mr. XYZ ABC H AT</t>
  </si>
  <si>
    <t>DEBIT ACHDr NACH INSTITUTE FEE</t>
  </si>
  <si>
    <t>DEP TFR NEFT*SCBL*SCBLH*PGIM INDIA M UTU AT</t>
  </si>
  <si>
    <t>DEP TFR NEFT*HDFC*HDFCH*CANARA ROBEC O M AT</t>
  </si>
  <si>
    <t>DEP TFR PABFC IOCL LPG SUBSIDY IOAPD AT</t>
  </si>
  <si>
    <t>DEP TFR UPI/CR//dotpe/UTIB/dotpe.payu/payU Ref AT</t>
  </si>
  <si>
    <t>DEP TFR NEFT*CITI*CITIN*FRANKLIN TEM PLE AT</t>
  </si>
  <si>
    <t>DEP TFR NEFT*HDFC*HDFCH*BAJAJ FLEXI CAP AT</t>
  </si>
  <si>
    <t>DEBIT CMP MANDATE D EBIT AXIS Mutual FUND</t>
  </si>
  <si>
    <t>DEBIT SBI CRE DIT CARD PAYMENT</t>
  </si>
  <si>
    <t>DEP TFR NEFT*UTIB*AXISP*LIC* BAT AT</t>
  </si>
  <si>
    <t>DEP TFR NEFT*HDFC*HDFCH*MIRAE ASSET MF AT</t>
  </si>
  <si>
    <t>DEP TFR NEFT*UTIB*AXISCN*AXIS MUTUAL FUN AT</t>
  </si>
  <si>
    <t>DEP TFR PAF IOCL LPG SUBSIDY IOAPD AT</t>
  </si>
  <si>
    <t>ECS/ACH RET CH PHYSICSW NACH FA IL INSUF BAL SBIN</t>
  </si>
  <si>
    <t>CSH DEP (CDM)</t>
  </si>
  <si>
    <t>CDM CH ARGE DR</t>
  </si>
  <si>
    <t>DEP TFR UPI/CR//SUMAN S/SBIN//P aym AT</t>
  </si>
  <si>
    <t>DEP TFR NEFT*HDFC*HDFCH*HDFC MUTUAL FUN AT</t>
  </si>
  <si>
    <t>DIRECT DR INT TRF FRM TO OF Mr. XYZ AT</t>
  </si>
  <si>
    <t>DEP TFR UPI/CR//ASHISH K/BARB/ashishmaur/P aym AT</t>
  </si>
  <si>
    <t>DEP TFR PEB IOCL LPG SUBSIDY IOAPD AT</t>
  </si>
  <si>
    <t>DEP TFR OF Mr. XYZ ABC AT</t>
  </si>
  <si>
    <t>CAS CHQ XFER WD CHEQUE TRANSFER TO OF M r. JITENDRA KUMAR RA AT</t>
  </si>
  <si>
    <t>INTERES T CREDIT</t>
  </si>
  <si>
    <t>DEP TFR PEF IOCL LPG SUBSIDY IOAPD AT</t>
  </si>
  <si>
    <t>CSH DEP (CDM) CDM VA RANASI UP I</t>
  </si>
  <si>
    <t>DEP TFR UPI/CR//Mrs SARI/IDIB/saritaABC/ UPI AT</t>
  </si>
  <si>
    <t>DEP TFR PCFF IOCL LPG SUBSIDY IOAPD AT</t>
  </si>
  <si>
    <t>DEP TFR UPI/CR//SHAMBHAV/KKBK//P aym AT</t>
  </si>
  <si>
    <t>DEP TFR UPI/CR//SANTOSH /SBIN//S ent AT</t>
  </si>
  <si>
    <t>DEP TFR PBCC IOCL LPG SUBSIDY IOAPD AT</t>
  </si>
  <si>
    <t>DEP TFR PB IOCL LPG SUBSIDY IOAPD AT</t>
  </si>
  <si>
    <t>DEP TFR UPI/CR//BHUPENDR/SBIN/bhupendra./ UPI AT</t>
  </si>
  <si>
    <t>DEP TFR PA IOCL LPG SUBSIDY IOAPD AT</t>
  </si>
  <si>
    <t>DEP TFR UPI/CR//SUNITA S/PUNB//P aym AT</t>
  </si>
  <si>
    <t>DEP TFR PAC IOCL LPG SUBSIDY IOAPD AT</t>
  </si>
  <si>
    <t>DEP TFR UPI/CR//Blinkit/YESB/paytm-blin/co lle AT</t>
  </si>
  <si>
    <t>DEP TFR PBF IOCL LPG SUBSIDY IOAPD AT</t>
  </si>
  <si>
    <t>DEP TFR UPI/CR//SUBHASHC/HDFC/subhashsha/s ala AT</t>
  </si>
  <si>
    <t>DEP TFR UPI/CR//AMWAY IN/HSBC/Amwayindia/R EFU AT</t>
  </si>
  <si>
    <t>DEBIT ACHDr NACH COACHING FEE</t>
  </si>
  <si>
    <t>DEP TFR UPI/CR//Flipkart/YESB/paytm-/c oll AT</t>
  </si>
  <si>
    <t>DEP TFR UPI/REF//CR AT</t>
  </si>
  <si>
    <t>DEP TFR UPI/REV/ AT</t>
  </si>
  <si>
    <t>DEP TFR PBEEC IOCL LPG SUBSIDY IOAPD AT</t>
  </si>
  <si>
    <t>DEP TFR UPI/CR//AKSHAY /SBIN/akshaykant/ UPI AT</t>
  </si>
  <si>
    <t>DEP TFR DBL PAD IOCL LPG SUBSIDY IOAPD AT</t>
  </si>
  <si>
    <t>DEBIT ACHDr YESB
 TP ACH INDIANE</t>
  </si>
  <si>
    <t>DEBIT ACHDr NACH
 ETMONEY</t>
  </si>
  <si>
    <t>DIRECT DR OF Mr. XYZ ABC
 H AT</t>
  </si>
  <si>
    <t>DEP TFR UPI/CR//YADVENDR/HDFC//P
 aym AT</t>
  </si>
  <si>
    <t>DEP TFR UPI/CR//Sudha S/SBIN/sudhaABC/
 UPI AT</t>
  </si>
  <si>
    <t>DEBIT CMP MANDATE D
 EBIT AXIS Mutual FUND</t>
  </si>
  <si>
    <t>W TFR UPI/DR//SHAMBHAV/KKBK//P aym AT</t>
  </si>
  <si>
    <t>W TFR UPI/DR//Ketto On/YESB/paytm-/O idO AT</t>
  </si>
  <si>
    <t>W TFR SMA OVERDUE RECOVERY OF Mr. XYZ AT</t>
  </si>
  <si>
    <t>W TFR UPI/DR//SOMAN T/YESB/paytmqrx/Pa yme AT</t>
  </si>
  <si>
    <t>W TFR UPI/DR//Bank Acc/BARB//P aym AT</t>
  </si>
  <si>
    <t>W TFR UPI/DR//Pranjal /SBIN/pranjalsin/P aym AT</t>
  </si>
  <si>
    <t>W TFR UPI/DR//DHIRENDR/SBIN//P aym AT</t>
  </si>
  <si>
    <t>W TFR UPI/DR//PANKAJ K/SBIN/pankajmish/ PAY AT</t>
  </si>
  <si>
    <t>W TFR UPI/DR//AFJALANS/YESB/Q/P aym AT</t>
  </si>
  <si>
    <t>W TFR UPI/DR//NALIN SI/DBSS/nalinbisen/ PAY AT</t>
  </si>
  <si>
    <t>W TFR UPI/DR//KESHAVA /YESB/paytmqr/P aym AT</t>
  </si>
  <si>
    <t>W TFR UPI/DR//Apex hea/UTIB/gpay-/P aym AT</t>
  </si>
  <si>
    <t>ATM W ATM CASH ATM SADAR PRATAPGARH</t>
  </si>
  <si>
    <t>W TFR UPI/DR//PRAKASH /YESB/paytmqrr/P aym AT</t>
  </si>
  <si>
    <t>W TFR UPI/DR//SHABANA /UBIN/asgark/P aym AT</t>
  </si>
  <si>
    <t>W TFR UPI/DR//Hotel Sh/UTIB//P aym AT</t>
  </si>
  <si>
    <t>W TFR UPI/DR//MAA PROV/BARB/maapr/ UPI AT</t>
  </si>
  <si>
    <t>W TFR UPI/DR//MAHESH M/CNRB//P aym AT</t>
  </si>
  <si>
    <t>W TFR UPI/DR//dotpe/UTIB/dotpe.payu/Orde rId AT</t>
  </si>
  <si>
    <t>W TFR UPI/DR//AMAZON S/HDFC/amazonsell/P aym AT</t>
  </si>
  <si>
    <t>W TFR UPI/DR//Blinkit/YESB/paytm-blin/Bl ink AT</t>
  </si>
  <si>
    <t>W TFR UPI/DR//ZOMATO/HDFC/payzomato@/Col lec AT</t>
  </si>
  <si>
    <t>W TFR UPI/DR//JITENDRA/UBIN//P aym AT</t>
  </si>
  <si>
    <t>W TFR UPI/DR//IRCTC Ra/UTIB/IRCTCRAILW/P aym AT</t>
  </si>
  <si>
    <t>W TFR LEGAL FEE OF Mr. UDAI PRATAP ABC AT</t>
  </si>
  <si>
    <t>W TFR UPI/DR//Monalisa/YESB/paytmqrkn/P aym AT</t>
  </si>
  <si>
    <t>W TFR UPI/DR//BPCL Ufi/YESB/paytmqrh/P aym AT</t>
  </si>
  <si>
    <t>W TFR UPI/DR//SEVEN TU/utib/seventurns/ Pay AT</t>
  </si>
  <si>
    <t>W TFR UPI/DR//B N S EN/BARB/bnsenglish/V eri AT</t>
  </si>
  <si>
    <t>W TFR UPI/DR//ASHWANI /ICIC//P aym AT</t>
  </si>
  <si>
    <t>W TFR UPI/DR//Myntra D/UTIB/MYNTRA@axl/P aym AT</t>
  </si>
  <si>
    <t>W TFR UPI/DR//Amazon I/RATN/amazon@rap/ You AT</t>
  </si>
  <si>
    <t>W TFR UPI/DR//Bank Acc/SBIN//P aym AT</t>
  </si>
  <si>
    <t>W TFR TR LOAN AC OF Mr. XYZ ABC AT</t>
  </si>
  <si>
    <t>W TFR UPI/DR//Pradeep /BARB/@/P aym AT</t>
  </si>
  <si>
    <t>ATM W ATM CASH  W</t>
  </si>
  <si>
    <t>REVERSE ATM W</t>
  </si>
  <si>
    <t>W TFR UPI/DR//INDRESH /UTIB/indresht/P aym AT</t>
  </si>
  <si>
    <t>W TFR UPI/DR//SHAMBHAV/KKBK/shambhavis/P aym AT</t>
  </si>
  <si>
    <t>W TFR UPI/DR//NEW KOVI/YESB/Q/P aym AT</t>
  </si>
  <si>
    <t>W TFR UPI/DR//FASHION /HDFC/fashionjew/F ASH AT</t>
  </si>
  <si>
    <t>W TFR UPI/DR//M S DARS/ICIC/ibkPOS.EP/P aym AT</t>
  </si>
  <si>
    <t>W TFR UPI/DR//Filo Hevis/ICIC/filohevis- /Pa AT</t>
  </si>
  <si>
    <t>W TFR UPI/DR//Comfort /UTIB/gpay-/P aym AT</t>
  </si>
  <si>
    <t>W TFR UPI/DR//Ms Gauta/YESB/paytm-/P aym AT</t>
  </si>
  <si>
    <t>W TFR UPI/DR//BharsoSy/UTIB/bharsosyst/ Pay AT</t>
  </si>
  <si>
    <t>W TFR UPI/DR//SUMAN S/SBIN//P aym AT</t>
  </si>
  <si>
    <t>W TFR PMSBY RENEWAL SBISB AT</t>
  </si>
  <si>
    <t>W TFR UPI/DR//DAL BAHA/BARB/dalbhadurs/P aym AT</t>
  </si>
  <si>
    <t>W TFR UPI/DR//Dhruvah /YESB/paytmqr/P aym AT</t>
  </si>
  <si>
    <t>ATM W ATM CASH SAR AS MOTEL RAEBARELI RAE BARELI</t>
  </si>
  <si>
    <t>ATM W ATM CASH SAR AS MOTEL SECOND ATMRAE BARELI</t>
  </si>
  <si>
    <t>W TFR UPI/DR//HP Auto /YESB/paytmqrmnh/P aym AT</t>
  </si>
  <si>
    <t>W TFR UPI/DR//NALIN SI/DBSS/nalinbisen/P aym AT</t>
  </si>
  <si>
    <t>W TFR UPI/DR//SOMAN T/SBIN//P aym AT</t>
  </si>
  <si>
    <t>W TFR UPI/DR//PhonePe/UTIB/bbpsbp@axl/Pa yme AT</t>
  </si>
  <si>
    <t>W TFR UPI/DR//Bank Acc/PUNB//P aym AT</t>
  </si>
  <si>
    <t>W TFR IRR OF Mr. XYZ SI NGH AT</t>
  </si>
  <si>
    <t>W TFR UPI/DR//PhonePe/YESB/bbpsbp@ybl/Pa yme AT</t>
  </si>
  <si>
    <t>W TFR UPI/DR//GUFRAN A/YESB/paytmqrd/P aym AT</t>
  </si>
  <si>
    <t>W TFR UPI/DR//PHYSICSW/HDFC/physicswal/ Upi AT</t>
  </si>
  <si>
    <t>W TFR UPI/DR//Vaishno /YESB/paytm.sa/P aym AT</t>
  </si>
  <si>
    <t>W TFR UPI/DR//SPECIAL /HDFC/specialfun/P aym AT</t>
  </si>
  <si>
    <t>W TFR UPI/DR//AJIT KUM/ICIC/ajitkumar/P aym AT</t>
  </si>
  <si>
    <t>W TFR UPI/DR//Chotu Ku/SBIN//P aym AT</t>
  </si>
  <si>
    <t>W TFR UPI/DR//A A Op/UTIB/gpay-/P aym AT</t>
  </si>
  <si>
    <t>W TFR Stamp duty SBIRL UP AT</t>
  </si>
  <si>
    <t>W TFR UPI/DR//JITENDRA/SBIN/aaryanrajb/P aym AT</t>
  </si>
  <si>
    <t>W TFR UPI/DR//AMWAY IN/ICIC/weplamwayi/A MWA AT</t>
  </si>
  <si>
    <t>W TFR INB For vehicle payment duster OF Mr. JITENDRA KUMAR RA AT</t>
  </si>
  <si>
    <t>W TFR UPI/DR//SWAMESH /BARB/swamesh/P aym AT</t>
  </si>
  <si>
    <t>W TFR UPI/DR//JITENDRA/UBIN/jitendrapr/P aym AT</t>
  </si>
  <si>
    <t>W TFR UPI/DR//IRSHAD K/HDFC/Vyapar./P aym AT</t>
  </si>
  <si>
    <t>W TFR UPI/DR//ASHISH K/BARB/ashishmaur/P aym AT</t>
  </si>
  <si>
    <t>W TFR UPI/DR//MS ABHIN/IDIB/hansraj/P aym AT</t>
  </si>
  <si>
    <t>W TFR UPI/DR//Amazon I/UTIB/amazonupi@/ You AT</t>
  </si>
  <si>
    <t>W TFR UPI/DR//MANSA DEVI/HDFC/mansadevi. /Pa AT</t>
  </si>
  <si>
    <t>W TFR UPI/DR//SARVESH /YESB/Q/P aym AT</t>
  </si>
  <si>
    <t>W TFR UPI/DR//Mr DHRUV/YESB/paytmqro/P aym AT</t>
  </si>
  <si>
    <t>W TFR UPI/DR//Mr DHARA/CBIN//P aym AT</t>
  </si>
  <si>
    <t>W TFR UPI/DR//SANJEEV /SBIN/sanjeevsun/P aym AT</t>
  </si>
  <si>
    <t>W TFR UPI/DR//HIWAY TY/YESB/Q/P aym AT</t>
  </si>
  <si>
    <t>W TFR UPI/DR//SRI VEDM/YESB/MAB/P aym AT</t>
  </si>
  <si>
    <t>W TFR UPI/DR//YUG SAHI/YESB/MAB/P aym AT</t>
  </si>
  <si>
    <t>W TFR UPI/DR//SRI VED /IDIB/vedmatagt@/P aym AT</t>
  </si>
  <si>
    <t>W TFR UPI/DR//SANDHIR /YESB/Q/P aym AT</t>
  </si>
  <si>
    <t>W TFR UPI/DR//AVDHESH /YESB/Q/P aym AT</t>
  </si>
  <si>
    <t>W TFR UPI/DR//SWAPNIL /YESB/Q/P aym AT</t>
  </si>
  <si>
    <t>W TFR UPI/DR//NNH SCAN/YESB/Q/P aym AT</t>
  </si>
  <si>
    <t>W TFR UPI/DR//Seekho/utib/seekhoswn./Man dat AT</t>
  </si>
  <si>
    <t>W TFR UPI/DR//IRCTC Ra/YESB/IRCTCRAILW/P aym AT</t>
  </si>
  <si>
    <t>W TFR UPI/DR//WWW OLX IN/HDFC/olxnew.pay /Up AT</t>
  </si>
  <si>
    <t>W TFR UPI/DR//BRIJENDR/SBIN//P aym AT</t>
  </si>
  <si>
    <t>W TFR UPI/DR//Amazon P/RATN/amazon-pod/P aym AT</t>
  </si>
  <si>
    <t>DEP TFR UPI/CR//ARVIND K/SBIN/arvinds./ UPI AT</t>
  </si>
  <si>
    <t>W TFR UPI/DR//GUFRAN A/YESB/paytmqrk/P aym AT</t>
  </si>
  <si>
    <t>W TFR UPI/DR//MUKESH Y/UBIN//P aym AT</t>
  </si>
  <si>
    <t>W TFR UPI/DR//KESHAVA /YESB/paytmqrvc/P aym AT</t>
  </si>
  <si>
    <t>W TFR UPI/DR//ANIL KUMAR/UBIN/ /Pa AT</t>
  </si>
  <si>
    <t>W TFR UPI/DR//FIDUCIA /ICIC/fiduciaent/T his AT</t>
  </si>
  <si>
    <t>W TFR UPI/DR//Roju Err L/UTIB/MAB. /Pa AT</t>
  </si>
  <si>
    <t>W TFR UPI/DR//RED TAPE/HDFC/redtapesho/P aym AT</t>
  </si>
  <si>
    <t>W TFR UPI/DR//Mr BRIJE/YESB/Q/P aym AT</t>
  </si>
  <si>
    <t>W TFR UPI/DR//Flipkart/YESB/paytm-/O idP AT</t>
  </si>
  <si>
    <t>W TFR UPI/DR//FLIPKART/HDFC/flipkart.p/ Upi AT</t>
  </si>
  <si>
    <t>W TFR UPI/DR//Universa/UTIB/gpay-/P aym AT</t>
  </si>
  <si>
    <t>W TFR UPI/DR//PRIYA SI/UTIB/sultra/P aym AT</t>
  </si>
  <si>
    <t>W TFR UPI/DR//Aradhya /PPIW//P aym AT</t>
  </si>
  <si>
    <t>W TFR UPI/DR//RAJESH K/YESB/paytmqrgl/P aym AT</t>
  </si>
  <si>
    <t>W TFR UPI/DR//KakashaE/AIRP/kakashaexp/K aka AT</t>
  </si>
  <si>
    <t>W TFR UPI/DR//SANGEET /SBIN//P aym AT</t>
  </si>
  <si>
    <t>W TFR UPI/DR//Atul Sales/UTIB/ /Pa AT</t>
  </si>
  <si>
    <t>ATM W ATM CASH VARAN</t>
  </si>
  <si>
    <t>W TFR UPI/DR//ANIL KUM/BARB//P aym AT</t>
  </si>
  <si>
    <t>W TFR UPI/DR//NEELESH /BARB/ranjanneel/P aym AT</t>
  </si>
  <si>
    <t>W TFR UPI/DR//Kishori /YESB/paytmqrb/P aym AT</t>
  </si>
  <si>
    <t>W TFR UPI/DR//MR AMIT /YESB/paytmqrp/P aym AT</t>
  </si>
  <si>
    <t>W TFR UPI/DR//SATYAM F/YESB/Q/P aym AT</t>
  </si>
  <si>
    <t>W TFR UPI/DR//PhonePe/UTIB/BBPSBP@axl/Pa yme AT</t>
  </si>
  <si>
    <t>W TFR UPI/DR//VIJAYADA/SBIN/vds@sbi/P aym AT</t>
  </si>
  <si>
    <t>W TFR UPI/DR//Karishma/YESB/paytmqrdgn/P aym AT</t>
  </si>
  <si>
    <t>W TFR UPI/DR//GUFRAN A/YESB/paytmqrhe/P aym AT</t>
  </si>
  <si>
    <t>W TFR UPI/DR//DINESH P/YESB/paytmqrk/P aym AT</t>
  </si>
  <si>
    <t>W TFR UPI/DR//AJAY KUMAR/BARB/ /Pa AT</t>
  </si>
  <si>
    <t>W TFR UPI/DR//AMAN KUMAR/ICIC/Getepay.uc /Pa AT</t>
  </si>
  <si>
    <t>W TFR UPI/DR//AMIT KU/SBIN//P aym AT</t>
  </si>
  <si>
    <t>W TFR UPI/DR//Manoj bo/YESB/Q/P aym AT</t>
  </si>
  <si>
    <t>W TFR UPI/DR//Neelam/BARB//Pay men AT</t>
  </si>
  <si>
    <t>W TFR UPI/DR//SURESH K/BARB/sureshkuma/P aym AT</t>
  </si>
  <si>
    <t>W TFR UPI/DR//SHASHI /SBIN//P aym AT</t>
  </si>
  <si>
    <t>W TFR UPI/DR//AMWAY IN/KKBK/wl.amwayin/A MWA AT</t>
  </si>
  <si>
    <t>W TFR UPI/DR//PIYUSH JHA/BARB/ /Pa AT</t>
  </si>
  <si>
    <t>W TFR UPI/DR//SURAJ PA/UBIN/pandeyyamr/P aym AT</t>
  </si>
  <si>
    <t>W TFR UPI/DR//VIJAY KU/BARB//P aym AT</t>
  </si>
  <si>
    <t>W TFR UPI/DR//Rajan Ku/BARB/rajanvishw/P aym AT</t>
  </si>
  <si>
    <t>W TFR UPI/DR//GUFRAN A/YESB/paytmqrn/P aym AT</t>
  </si>
  <si>
    <t>W TFR UPI/DR//PRASANTA/SBIN//P aym AT</t>
  </si>
  <si>
    <t>W TFR UPI/DR//Airtel R/YESB/AIRTELPRED/P aym AT</t>
  </si>
  <si>
    <t>W TFR UPI/DR//Bank Acc/UBIN//P aym AT</t>
  </si>
  <si>
    <t>W TFR UPI/DR//ABHIROOP/YESB/Q/P aym AT</t>
  </si>
  <si>
    <t>W TFR UPI/DR//ALOK KUM/UBIN//P aym AT</t>
  </si>
  <si>
    <t>W TFR UPI/DR//NARAYAN /SBIN//P aym AT</t>
  </si>
  <si>
    <t>W TFR UPI/DR//Amazon I/YESB/amazon@yap/ You AT</t>
  </si>
  <si>
    <t>W TFR UPI/DR//MANTU KU/IPOS//P aym AT</t>
  </si>
  <si>
    <t>W TFR UPI/DR//Himanshu/YESB/paytmqrjh/P aym AT</t>
  </si>
  <si>
    <t>W TFR UPI/DR//SEVEN TU/UTIB/seventurns/P aym AT</t>
  </si>
  <si>
    <t>W TFR UPI/DR//Vishal Y/UTIB/gpay-/P aym AT</t>
  </si>
  <si>
    <t>W TFR UPI/DR//Raj Yadav/YESB/paytm.s/ Pay AT</t>
  </si>
  <si>
    <t>W TFR UPI/DR//AMWAY IN/HSBC/amwayindia/P aym AT</t>
  </si>
  <si>
    <t>W TFR UPI/DR//AMWAY IN/HSBC/Amwayindia/P aym AT</t>
  </si>
  <si>
    <t>W TFR UPI/DR//Mr Priy /IDIB/prsgzp-/P aym AT</t>
  </si>
  <si>
    <t>W TFR UPI/DR//SARITA /UBIN//P aym AT</t>
  </si>
  <si>
    <t>W TFR UPI/DR//Swiggy Ltd/UTIB/swiggyupi@ /re AT</t>
  </si>
  <si>
    <t>W TFR UPI/DR//XYZ Va/IDFB/netc./P aym AT</t>
  </si>
  <si>
    <t>W TFR UPI/DR//Mr HIMAN/IDIB/himanshuku/P aym AT</t>
  </si>
  <si>
    <t>W TFR UPI/DR//Mrs SARI/IDIB/saritaABC/P aym AT</t>
  </si>
  <si>
    <t>W TFR UPI/DR//U P Powe/AIRP/uppowercor/ Upi AT</t>
  </si>
  <si>
    <t>W TFR UPI/DR//Blinkit/YESB/paytm-blin/Oi dZT AT</t>
  </si>
  <si>
    <t>W TFR UPI/DR//ANJANI F/YESB/paytmqrfr/P aym AT</t>
  </si>
  <si>
    <t>W TFR UPI/DR//Zudio/UTIB/TRENTZUDIO/Paym ent AT</t>
  </si>
  <si>
    <t>W TFR UPI/DR//GIRDHAR /YESB/paytmqrd/P aym AT</t>
  </si>
  <si>
    <t>W TFR UPI/DR//MR VIPIN/ICIC/ibkPOS.EP/P aym AT</t>
  </si>
  <si>
    <t>W TFR UPI/DR//RAVI SHA/UBIN//P aym AT</t>
  </si>
  <si>
    <t>W TFR UPI/DR//SIYARAM /YESB/paytm.sj/P aym AT</t>
  </si>
  <si>
    <t>W TFR UPI/DR//NAJIYA B/FDRL/BHARATPE./ Pay AT</t>
  </si>
  <si>
    <t>W TFR UPI/DR//NEW PATE/YESB/q/P aym AT</t>
  </si>
  <si>
    <t>W TFR UPI/DR//Khushi /SBIN//P aym AT</t>
  </si>
  <si>
    <t>W TFR UPI/DR// MAZD/SBIN/mazdoor/P aym AT</t>
  </si>
  <si>
    <t>W TFR UPI/DR//VISHAL B/YESB/paytm.sh/P aym AT</t>
  </si>
  <si>
    <t>W TFR UPI/DR//RAJ KUMAR/YESB/paytm.squ/ Pay AT</t>
  </si>
  <si>
    <t>W TFR UPI/DR//Anil vis/YESB/Q/P aym AT</t>
  </si>
  <si>
    <t>W TFR UPI/DR//RAMLAKHA/YESB/paytmqrjn/P aym AT</t>
  </si>
  <si>
    <t>W TFR UPI/DR//Laxmi EL/UTIB/gpay-/P aym AT</t>
  </si>
  <si>
    <t>W TFR UPI/DR//SUMAN DEVI/YESB/paytmqrdr /Pa AT</t>
  </si>
  <si>
    <t>W TFR UPI/DR//Rehan K/SBIN/rehankhant/P aym AT</t>
  </si>
  <si>
    <t>W TFR UPI/DR//BRIJESH /YESB/Q/P aym AT</t>
  </si>
  <si>
    <t>W TFR UPI/DR//TYAGI ST/YESB/Q/P aym AT</t>
  </si>
  <si>
    <t>W TFR UPI/DR//TAUSIF S/HDFC//P aym AT</t>
  </si>
  <si>
    <t>W TFR UPI/DR//MS ROHIT/YESB/paytm.scp/P aym AT</t>
  </si>
  <si>
    <t>W TFR UPI/DR//VIVEK KU/ICIC/vivekupadh/P aym AT</t>
  </si>
  <si>
    <t>W TFR UPI/DR//ASHWANI /BARB/ashwaniwor/P aym AT</t>
  </si>
  <si>
    <t>W TFR UPI/DR//ALIGN AS/YESB/paytmqrgf/P aym AT</t>
  </si>
  <si>
    <t>W TFR UPI/DR//ASHISH K/YESB/Q/P aym AT</t>
  </si>
  <si>
    <t>W TFR UPI/DR//SONU KUM/UNBA/BHARATPE./ Pay AT</t>
  </si>
  <si>
    <t>W TFR UPI/DR//Neelam/BARB/kumarajay/Pay men AT</t>
  </si>
  <si>
    <t>W TFR UPI/DR//Raj Gene/UTIB/gpay-/P aym AT</t>
  </si>
  <si>
    <t>W TFR UPI/DR//AJAD PRA/YESB/Q/P aym AT</t>
  </si>
  <si>
    <t>W TFR UPI/DR//MUNNALAL/YESB/paytm.sqm/P aym AT</t>
  </si>
  <si>
    <t>W TFR UPI/DR//DINESH /YESB/Q/P aym AT</t>
  </si>
  <si>
    <t>W TFR UPI/DR//MONALISA/YESB/Q/P aym AT</t>
  </si>
  <si>
    <t>W TFR UPI/DR//RAJ MOHA/YESB/Q/P aym AT</t>
  </si>
  <si>
    <t>W TFR UPI/DR//Monalisa/UTIB/gpay-/P aym AT</t>
  </si>
  <si>
    <t>W TFR UPI/DR//KESHAVA /YESB/paytmqrrb/P aym AT</t>
  </si>
  <si>
    <t>W TFR UPI/DR//Afjal An/YESB/paytmqrns/P aym AT</t>
  </si>
  <si>
    <t>W TFR UPI/DR//Raghuwar/YESB/paytm.szt/P aym AT</t>
  </si>
  <si>
    <t>W TFR UPI/DR//SHRI NIV/UBIN/shrinivas./P aym AT</t>
  </si>
  <si>
    <t>W TFR UPI/DR//Surendra/YESB/paytmqrgs/P aym AT</t>
  </si>
  <si>
    <t>W TFR UPI/DR//BOOK PAL/YESB/paytm.sn/P aym AT</t>
  </si>
  <si>
    <t>W TFR UPI/DR//IRSHAD K/YESB/Q/P aym AT</t>
  </si>
  <si>
    <t>W TFR UPI/DR//Mohit S/SBIN//P aym AT</t>
  </si>
  <si>
    <t>W TFR UPI/DR//ASHOK KU/YESB/Q/P aym AT</t>
  </si>
  <si>
    <t>W TFR UPI/DR//Mr Kisha/IDIB/kumarkisha/P aym AT</t>
  </si>
  <si>
    <t>W TFR UPI/DR//SANTOSH /BARB//P aym AT</t>
  </si>
  <si>
    <t>W TFR UPI/DR//Mr MOHIT/CBIN//P aym AT</t>
  </si>
  <si>
    <t>W TFR UPI/DR//DILIP BH/BARB//P aym AT</t>
  </si>
  <si>
    <t>W TFR UPI/DR//Mr. RAJE/SBIN/rksinha@/P aym AT</t>
  </si>
  <si>
    <t>W TFR UPI/DR//Uttar Pr/HDFC/billdeskpg/ Pay AT</t>
  </si>
  <si>
    <t>W TFR UPI/DR//Chaurasi/UTIB/gpay-/P aym AT</t>
  </si>
  <si>
    <t>W TFR UPI/DR//COMPUTER/YESB/paytm.stt/P aym AT</t>
  </si>
  <si>
    <t>W TFR UPI/DR//DIVYA SI/YESB/paytmqrkw/P aym AT</t>
  </si>
  <si>
    <t>W TFR IMPS//UTIB-xx-SRI JAGD/Bill P ay AT</t>
  </si>
  <si>
    <t>W TFR IMPS//PUNB-xx-SOHRAB A/Bill P ay AT</t>
  </si>
  <si>
    <t>W TFR UPI/DR//RAVI SHA/YESB/paytmqrl/P aym AT</t>
  </si>
  <si>
    <t>W TFR UPI/DR//SHREE KR/YESB/paytmqryw/P aym AT</t>
  </si>
  <si>
    <t>W TFR UPI/DR//Keshari /UTIB/gpay-/P aym AT</t>
  </si>
  <si>
    <t>W TFR UPI/DR//CHHEDI LAL/BARB/ /Pa AT</t>
  </si>
  <si>
    <t>W TFR UPI/DR//AKHILESH/SBIN//P aym AT</t>
  </si>
  <si>
    <t>W TFR UPI/DR//SS ENTER/ICIC/eazypay./P aym AT</t>
  </si>
  <si>
    <t>W TFR UPI/DR//PhonePe/YESB/sv/Pa yme AT</t>
  </si>
  <si>
    <t>W TFR UPI/DR//CHANDAN /ICIC//P aym AT</t>
  </si>
  <si>
    <t>W TFR UPI/DR//SIYARAM /YESB/paytm.sw/P aym AT</t>
  </si>
  <si>
    <t>W TFR UPI/DR//Mr Ashok/IDIB//P aym AT</t>
  </si>
  <si>
    <t>W TFR UPI/DR//SOHRAB A/PUNB//P aym AT</t>
  </si>
  <si>
    <t>ATM W ATM CASH ATM VARAN</t>
  </si>
  <si>
    <t>W TFR UPI/DR//PARAS AU/YESB/paytmqrza/P aym AT</t>
  </si>
  <si>
    <t>W TFR UPI/DR//JIO Post/YESB/paytm-/O idP AT</t>
  </si>
  <si>
    <t>W TFR UPI/DR//SHAILEND/YESB/Q/P aym AT</t>
  </si>
  <si>
    <t>W TFR UPI/DR//ANSH IT /YESB/q/P aym AT</t>
  </si>
  <si>
    <t>W TFR UPI/DR//IRCTC Ra/YESB/IRCTCPGONL/P aym AT</t>
  </si>
  <si>
    <t>W TFR UPI/DR//VINOD VA/YESB/paytm.sc/P aym AT</t>
  </si>
  <si>
    <t>W TFR UPI/DR//Indian R/SBIN/railsbiupi/P aym AT</t>
  </si>
  <si>
    <t>W TFR UPI/DR//SULEMAN/BARB/s@/Pa yme AT</t>
  </si>
  <si>
    <t>W TFR UPI/DR//SARDAR /IOBA//P aym AT</t>
  </si>
  <si>
    <t>W TFR UPI/DR//RAM ABC/SBIN/rABC.vns /Pa AT</t>
  </si>
  <si>
    <t>W TFR UPI/DR//AMWAY IN/AIRP/amwayindia/P urc AT</t>
  </si>
  <si>
    <t>W TFR UPI/DR//JITENDRA/BARB/jksharma/P aym AT</t>
  </si>
  <si>
    <t>W TFR UPI/DR//UNITED I/PSIB/imam.mojiz/P aym AT</t>
  </si>
  <si>
    <t>W TFR UPI/DR//JAY PRAK/BARB/jayprakash/P aym AT</t>
  </si>
  <si>
    <t>W TFR UPI/DR//KHAN FAB/SBIN/@a/P aym AT</t>
  </si>
  <si>
    <t>W TFR UPI/DR//ARTI JA/SBIN/artijaiswa/P aym AT</t>
  </si>
  <si>
    <t>W TFR UPI/DR//SOMAN T/SBIN/st@/P aym AT</t>
  </si>
  <si>
    <t>W TFR SBIYA-PAIRenewal OF SBI GENERAL INSURANCE AT</t>
  </si>
  <si>
    <t>W TFR UPI/DR//BIKAS R/BKID/rai/P aym AT</t>
  </si>
  <si>
    <t>W TFR UPI/DR//MONA KAK/YESB/paytmqrx/P aym AT</t>
  </si>
  <si>
    <t>W TFR UPI/DR//BP BHU/YESB/paytm.sg/Pay men AT</t>
  </si>
  <si>
    <t>W TFR UPI/DR//MADHU SH/YESB/Q/P aym AT</t>
  </si>
  <si>
    <t>W TFR UPI/DR//NEHA BRI/BARB/sunnyailan/P aym AT</t>
  </si>
  <si>
    <t>W TFR UPI/DR//Mr RAJ K/UNBA/BHARATPE./ Pay AT</t>
  </si>
  <si>
    <t>W TFR UPI/DR//NEERAJ K/YESB/paytmqr/P aym AT</t>
  </si>
  <si>
    <t>W TFR UPI/DR//Inner Bh/YESB/MYZFBCG/C oll AT</t>
  </si>
  <si>
    <t>W TFR UPI/DR//SONI/UCBA//Paym ent AT</t>
  </si>
  <si>
    <t>W TFR UPI/DR//AMIT AGR/BKID/shivyavns-/P aym AT</t>
  </si>
  <si>
    <t>W TFR UPI/DR//ASHISH C/HDFC// Paym AT</t>
  </si>
  <si>
    <t>W TFR UPI/DR//Inner Bh/YESB/MYZFBCG/S
 ubs AT</t>
  </si>
  <si>
    <t>W TFR UPI/DR//SARDAR /IOBA//P
 aym AT</t>
  </si>
  <si>
    <t>ATM W ATM CASH 
 VAR OLAND GANJ VARA</t>
  </si>
  <si>
    <t>W TFR UPI/DR//ANKIT SI/HDFC//P
 aym AT</t>
  </si>
  <si>
    <t>W TFR UPI/DR//SRIHIREN/SBIN/Q/P
 aym AT</t>
  </si>
  <si>
    <t>W TFR UPI/DR//SHAMBHAV/KKBK//P
 aym AT</t>
  </si>
  <si>
    <t>W TFR UPI/DR//MANISH K/BARB/ak/P
 aym AT</t>
  </si>
  <si>
    <t>W TFR UPI/DR//LANGULI /YESB/Q/P
 aym AT</t>
  </si>
  <si>
    <t>W TFR UPI/DR//Mr RAIYA/YESB/Q/P
 aym AT</t>
  </si>
  <si>
    <t>W TFR UPI/DR//MANOJ KU/YESB/paytmqrk/P
 aym AT</t>
  </si>
  <si>
    <t>W TFR UPI/DR//Jai Ma D/UTIB/gpay-/P
 aym AT</t>
  </si>
  <si>
    <t>W TFR UPI/DR//Ketto On/YESB/paytm-/O
 idO AT</t>
  </si>
  <si>
    <t>W TFR UPI/DR//AMIT CHA/YESB/Q/P
 aym AT</t>
  </si>
  <si>
    <t>W TFR UPI/DR//magicmed/UTIB//P
 aym AT</t>
  </si>
  <si>
    <t>W TFR UPI/DR//Mishra A/YESB/paytmqrkw/P
 aym AT</t>
  </si>
  <si>
    <t>W TFR UPI/DR//ARVIND K/SBIN//P
 aym AT</t>
  </si>
  <si>
    <t>W TFR UPI/DR//ANIL KUMAR/UTIB/gpay-
 /Pa AT</t>
  </si>
  <si>
    <t>W TFR UPI/DR//SONI/UCBA//Paym
 ent AT</t>
  </si>
  <si>
    <t>W TFR UPI/DR//KESHAVA /YESB/paytmqrvc/P
 aym AT</t>
  </si>
  <si>
    <t>W TFR UPI/DR//Afjal An/YESB/paytmqrns/P
 aym AT</t>
  </si>
  <si>
    <t>W TFR UPI/DR//Mohit S/SBIN//P
 aym AT</t>
  </si>
  <si>
    <t>W TFR UPI/DR//AMWAY IN/ICIC/weplamwayi/A
 MWA AT</t>
  </si>
  <si>
    <t>W TFR UPI/DR//AMWAY IN/AIRP/amwayindia/P
 urc AT</t>
  </si>
  <si>
    <t>W TFR UPI/DR//Jio Rech/YESB/JIOINAPPDI/P
 aym AT</t>
  </si>
  <si>
    <t>W TFR UPI/DR//RAVI SHA/YESB/paytmqrl/P
 aym AT</t>
  </si>
  <si>
    <t>W TFR UPI/DR//Seekho/utib/seekhoswn./Man
 dat AT</t>
  </si>
  <si>
    <t>W TFR UPI/DR//NALIN SI/DBSS/nalinbisen/P
 aym AT</t>
  </si>
  <si>
    <t>ATM W ATM CASH 
 VARAN</t>
  </si>
  <si>
    <t>W TFR UPI/DR//ANKIT SI/YESB/Q/P
 aym AT</t>
  </si>
  <si>
    <t>W TFR UPI/DR//SADIQ K/KKBK//P
 aym AT</t>
  </si>
  <si>
    <t>W TFR UPI/DR//Bank Acc/SBIN//P
 aym AT</t>
  </si>
  <si>
    <t>W TFR UPI/DR//ANKUR GU/YESB/paytmqrwq/P
 aym AT</t>
  </si>
  <si>
    <t>W TFR UPI/DR//RITESH K/YESB/paytm.syc/P
 aym AT</t>
  </si>
  <si>
    <t>W TFR UPI/DR//MOHD SAI/BARB/mohammadsa/P
 aym AT</t>
  </si>
  <si>
    <t>W TFR UPI/DR//Sahabaj/SBIN/shabajahma/Pa
 yme AT</t>
  </si>
  <si>
    <t>W TFR UPI/DR//MANORAMA/YESB/paytmqrn/P
 aym AT</t>
  </si>
  <si>
    <t>W TFR UPI/DR//POOJA SI/UNBA/BHARATPER/P
 aym AT</t>
  </si>
  <si>
    <t>W TFR UPI/DR//MS VANDANA/YESB/paytmqr
 /Pa AT</t>
  </si>
  <si>
    <t>W TFR UPI/DR//ABHISHEK/BARB//P
 aym AT</t>
  </si>
  <si>
    <t>W TFR UPI/DR//KS/YESB/Q/Payme
 nt AT</t>
  </si>
  <si>
    <t>W TFR UPI/DR//KESHAVA /YESB/paytmqrrb/P
 aym AT</t>
  </si>
  <si>
    <t>W TFR UPI/DR//HANEEF K/HDFC/Vyapar./P
 aym AT</t>
  </si>
  <si>
    <t>W TFR UPI/DR//BRIJESH /YESB/Q/P
 aym AT</t>
  </si>
  <si>
    <t>W TFR UPI/DR//SHRI MOH/HDFC/srimohanpa/P
 aym AT</t>
  </si>
  <si>
    <t>W TFR UPI/DR//TARUN KU/UBIN//P
 aym AT</t>
  </si>
  <si>
    <t>REVERSE
 ATM W</t>
  </si>
  <si>
    <t>ATM W ATM CASH 
 ATM VARAN</t>
  </si>
  <si>
    <t>W TFR UPI/DR//Shri Bal/YESB/paytm.sh/P
 aym AT</t>
  </si>
  <si>
    <t>W TFR UPI/DR//IRCTC Ra/UTIB/IRCTCRAILW/P
 aym AT</t>
  </si>
  <si>
    <t>W TFR UPI/DR//PRAVEEN /UBIN/praveensri/P
 aym AT</t>
  </si>
  <si>
    <t>W TFR UPI/DR//SHASHANK/PUNB//P
 aym AT</t>
  </si>
  <si>
    <t>W TFR UPI/DR//AMWAY IN/AIRP/amwayindia/A
 MWA AT</t>
  </si>
  <si>
    <t>W TFR UPI/DR//U P Powe/AIRP/UPPowerCor/U
 PII AT</t>
  </si>
  <si>
    <t>W TFR UPI/DR//ALTAMASH/YESB/Q/P
 aym AT</t>
  </si>
  <si>
    <t>W TFR UPI/DR//PAPPU/UCBA/pk@/Paym
 ent AT</t>
  </si>
  <si>
    <t>W TFR UPI/DR//GULSHAN /INDB/bajajpay./P
 aym AT</t>
  </si>
  <si>
    <t>W TFR UPI/DR//Mahajan /BARB//P
 aym AT</t>
  </si>
  <si>
    <t>W TFR UPI/DR//MONALISA/YESB/Q/P
 aym AT</t>
  </si>
  <si>
    <t>W TFR UPI/DR//KESHAVA /YESB/paytm.sk/P
 aym AT</t>
  </si>
  <si>
    <t>W TFR UPI/DR//JITENDRA/UBIN/jitendrapr/P
 aym AT</t>
  </si>
  <si>
    <t>W TFR UPI/DR//Raj Batt/UTIB/gpay-/P
 aym AT</t>
  </si>
  <si>
    <t>W TFR UPI/DR//PhonePe/YESB/SV/Pa
 yme AT</t>
  </si>
  <si>
    <t>W TFR UPI/DR//SHIVAM K/UNBA/BHARATPE./
 Pay AT</t>
  </si>
  <si>
    <t>W TFR UPI/DR//SHRI HAR/YESB/Q/P
 aym AT</t>
  </si>
  <si>
    <t>W TFR UPI/DR//SATISH K/BARB//P
 aym AT</t>
  </si>
  <si>
    <t>W TFR UPI/DR//KAJU RAI/BARB/kajubhagat/P
 aym AT</t>
  </si>
  <si>
    <t>W TFR UPI/DR//Kalawati/UTIB/gpay-/P
 aym AT</t>
  </si>
  <si>
    <t>W TFR UPI/DR//ALIGN AS/YESB/paytmqrgf/P
 aym AT</t>
  </si>
  <si>
    <t>W TFR UPI/DR//KHAN FAB/SBIN/@a/P
 aym AT</t>
  </si>
  <si>
    <t>W TFR UPI/DR//GUFRAN A/YESB/paytmqrfh/P
 aym AT</t>
  </si>
  <si>
    <t>W TFR UPI/DR//Manas En/UTIB//P
 aym AT</t>
  </si>
  <si>
    <t>W TFR UPI/DR//ASHISH P/HDFC/Vyapar./P
 aym AT</t>
  </si>
  <si>
    <t>W TFR UPI/DR//USHA STA/BKID/boism-/M
 erc AT</t>
  </si>
  <si>
    <t>W TFR UPI/DR//Pradeep /SBIN/pradeepmeg/P
 aym AT</t>
  </si>
  <si>
    <t>W TFR UPI/DR//SANJAY K/SBIN//P
 aym AT</t>
  </si>
  <si>
    <t>W TFR UPI/DR//Laxmi EL/UTIB/gpay-/P
 aym AT</t>
  </si>
  <si>
    <t>W TFR UPI/DR//RASIDA B/YESB/Q/P
 aym AT</t>
  </si>
  <si>
    <t>W TFR UPI/DR//Bank Acc/PUNB//P
 aym AT</t>
  </si>
  <si>
    <t>W TFR UPI/DR//CHHEDI LAL/UBIN/yadavchhed
 /Pa AT</t>
  </si>
  <si>
    <t>W TFR UPI/DR//Bharat C/YESB/SV/P
 aym AT</t>
  </si>
  <si>
    <t>W TFR UPI/DR//ARVIND K/INDB/arvindpate/P
 aym AT</t>
  </si>
  <si>
    <t>W TFR UPI/DR//AJAY KUM/HDFC/ajay/P
 aym AT</t>
  </si>
  <si>
    <t>W TFR UPI/DR//IRSHAD K/YESB/Q/P
 aym AT</t>
  </si>
  <si>
    <t>W TFR UPI/DR//RAM ABC/YESB/paytmqrjl/P
 aym AT</t>
  </si>
  <si>
    <t>W TFR UPI/DR//DHIRENDR/SBIN//P
 aym AT</t>
  </si>
  <si>
    <t>W TFR UPI/DR//LENSKART/YESB/LENSKARTOF/P
 aym AT</t>
  </si>
  <si>
    <t>W TFR UPI/DR//Ketto On/YESB/paytm-/
 OidO AT</t>
  </si>
  <si>
    <t>EMPLOYER DEP Sa lary of Mar</t>
  </si>
  <si>
    <t>EMPLOYER DEP Sa lary of Apr</t>
  </si>
  <si>
    <t>EMPLOYER DEP Sa lary of May</t>
  </si>
  <si>
    <t>EMPLOYER DEP Sa lary of Jun</t>
  </si>
  <si>
    <t>EMPLOYER DEP Sa lary of Jul</t>
  </si>
  <si>
    <t>EMPLOYER DEP ITDTAX RE FUND - AGMPVC</t>
  </si>
  <si>
    <t>EMPLOYER DEP Sa lary of Aug</t>
  </si>
  <si>
    <t>EMPLOYER DEP BO NUS BILL OF FY</t>
  </si>
  <si>
    <t>EMPLOYER DEP Sa lary of Sep</t>
  </si>
  <si>
    <t>EMPLOYER DEP Sa lary of Oct</t>
  </si>
  <si>
    <t>EMPLOYER DEP Sa lary of Nov</t>
  </si>
  <si>
    <t>EMPLOYER DEP Sa lary of Dec</t>
  </si>
  <si>
    <t>EMPLOYER DEP Sa lary of Jan</t>
  </si>
  <si>
    <t>EMPLOYER DEP Sa lary of Feb</t>
  </si>
  <si>
    <t>EMPLOYER DEP Sa
 lary of Mar</t>
  </si>
  <si>
    <t>EMPLOYER DEP Sa
 lary of Apr</t>
  </si>
  <si>
    <t>March 2026 Anomaly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</si>
</sst>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 #,##0.00;[Red]&quot;₹&quot;\ \-#,##0.00"/>
    <numFmt numFmtId="164" formatCode="[$-F800]dddd\,\ mmmm\ dd\,\ yyyy"/>
    <numFmt numFmtId="165" formatCode="mmm/yyyy"/>
    <numFmt numFmtId="166" formatCode="&quot;₹&quot;\ #,##0"/>
    <numFmt numFmtId="167" formatCode="0.0%"/>
    <numFmt numFmtId="168" formatCode="&quot;₹&quot;\ #,##0.00"/>
    <numFmt numFmtId="169" formatCode="[$-409]d\-mmm\-yy;@"/>
  </numFmts>
  <fonts count="40" x14ac:knownFonts="1">
    <font>
      <sz val="11"/>
      <color theme="1"/>
      <name val="Calibri"/>
      <family val="2"/>
      <scheme val="minor"/>
    </font>
    <font>
      <b/>
      <sz val="11"/>
      <color theme="1"/>
      <name val="Calibri"/>
      <family val="2"/>
      <scheme val="minor"/>
    </font>
    <font>
      <sz val="11"/>
      <color indexed="8"/>
      <name val="Calibri"/>
      <family val="2"/>
      <scheme val="minor"/>
    </font>
    <font>
      <sz val="11"/>
      <color theme="0"/>
      <name val="Calibri"/>
      <family val="2"/>
      <scheme val="minor"/>
    </font>
    <font>
      <b/>
      <sz val="12"/>
      <color theme="1"/>
      <name val="Calibri"/>
      <family val="2"/>
      <scheme val="minor"/>
    </font>
    <font>
      <sz val="11"/>
      <color theme="4" tint="-0.249977111117893"/>
      <name val="Calibri"/>
      <family val="2"/>
      <scheme val="minor"/>
    </font>
    <font>
      <b/>
      <sz val="12"/>
      <color theme="4" tint="0.39997558519241921"/>
      <name val="Calibri"/>
      <family val="2"/>
      <scheme val="minor"/>
    </font>
    <font>
      <b/>
      <sz val="28"/>
      <color theme="4" tint="0.39997558519241921"/>
      <name val="Calibri"/>
      <family val="2"/>
      <scheme val="minor"/>
    </font>
    <font>
      <b/>
      <sz val="16"/>
      <color theme="4" tint="0.39997558519241921"/>
      <name val="Calibri"/>
      <family val="2"/>
      <scheme val="minor"/>
    </font>
    <font>
      <sz val="20"/>
      <color theme="4" tint="0.39997558519241921"/>
      <name val="Calibri"/>
      <family val="2"/>
      <scheme val="minor"/>
    </font>
    <font>
      <sz val="11"/>
      <color theme="1"/>
      <name val="Calibri"/>
      <family val="2"/>
      <scheme val="minor"/>
    </font>
    <font>
      <b/>
      <sz val="11"/>
      <color theme="0"/>
      <name val="Calibri"/>
      <family val="2"/>
      <scheme val="minor"/>
    </font>
    <font>
      <u/>
      <sz val="11"/>
      <color theme="10"/>
      <name val="Calibri"/>
      <family val="2"/>
      <scheme val="minor"/>
    </font>
    <font>
      <i/>
      <sz val="12"/>
      <color theme="4" tint="0.59999389629810485"/>
      <name val="Calibri"/>
      <family val="2"/>
      <scheme val="minor"/>
    </font>
    <font>
      <b/>
      <sz val="14"/>
      <color theme="0"/>
      <name val="Calibri"/>
      <family val="2"/>
      <scheme val="minor"/>
    </font>
    <font>
      <sz val="12"/>
      <color theme="8" tint="0.39997558519241921"/>
      <name val="Calibri"/>
      <family val="2"/>
      <scheme val="minor"/>
    </font>
    <font>
      <b/>
      <sz val="14"/>
      <color theme="8" tint="0.39997558519241921"/>
      <name val="Calibri"/>
      <family val="2"/>
      <scheme val="minor"/>
    </font>
    <font>
      <b/>
      <sz val="18"/>
      <color theme="8" tint="0.39997558519241921"/>
      <name val="Calibri"/>
      <family val="2"/>
      <scheme val="minor"/>
    </font>
    <font>
      <sz val="12"/>
      <color rgb="FFA8B4C8"/>
      <name val="Calibri"/>
      <family val="2"/>
      <scheme val="minor"/>
    </font>
    <font>
      <sz val="11"/>
      <color rgb="FF1E2D45"/>
      <name val="Calibri"/>
      <family val="2"/>
      <scheme val="minor"/>
    </font>
    <font>
      <sz val="12"/>
      <color rgb="FF00B0F0"/>
      <name val="Calibri"/>
      <family val="2"/>
      <scheme val="minor"/>
    </font>
    <font>
      <b/>
      <sz val="14"/>
      <color theme="4" tint="0.59999389629810485"/>
      <name val="Calibri"/>
      <family val="2"/>
      <scheme val="minor"/>
    </font>
    <font>
      <sz val="11"/>
      <color theme="4" tint="0.59999389629810485"/>
      <name val="Calibri"/>
      <family val="2"/>
      <scheme val="minor"/>
    </font>
    <font>
      <b/>
      <sz val="11"/>
      <color rgb="FFF0C040"/>
      <name val="Calibri"/>
      <family val="2"/>
      <scheme val="minor"/>
    </font>
    <font>
      <b/>
      <sz val="11"/>
      <color rgb="FFE05A5A"/>
      <name val="Calibri"/>
      <family val="2"/>
      <scheme val="minor"/>
    </font>
    <font>
      <b/>
      <sz val="11"/>
      <color rgb="FF8AACCC"/>
      <name val="Calibri"/>
      <family val="2"/>
      <scheme val="minor"/>
    </font>
    <font>
      <b/>
      <sz val="14"/>
      <color rgb="FFF0C040"/>
      <name val="Calibri"/>
      <family val="2"/>
      <scheme val="minor"/>
    </font>
    <font>
      <b/>
      <sz val="14"/>
      <color rgb="FF8AACCC"/>
      <name val="Calibri"/>
      <family val="2"/>
      <scheme val="minor"/>
    </font>
    <font>
      <b/>
      <sz val="12"/>
      <color rgb="FFE05A5A"/>
      <name val="Calibri"/>
      <family val="2"/>
      <scheme val="minor"/>
    </font>
    <font>
      <b/>
      <sz val="12"/>
      <color rgb="FFF0C040"/>
      <name val="Calibri"/>
      <family val="2"/>
      <scheme val="minor"/>
    </font>
    <font>
      <b/>
      <sz val="18"/>
      <color rgb="FF8AACCC"/>
      <name val="Calibri"/>
      <family val="2"/>
      <scheme val="minor"/>
    </font>
    <font>
      <sz val="14"/>
      <color theme="4" tint="0.39997558519241921"/>
      <name val="Calibri"/>
      <family val="2"/>
      <scheme val="minor"/>
    </font>
    <font>
      <b/>
      <sz val="18"/>
      <color rgb="FFE05A5A"/>
      <name val="Calibri"/>
      <family val="2"/>
      <scheme val="minor"/>
    </font>
    <font>
      <b/>
      <sz val="18"/>
      <color theme="4" tint="0.39997558519241921"/>
      <name val="Calibri"/>
      <family val="2"/>
      <scheme val="minor"/>
    </font>
    <font>
      <b/>
      <sz val="18"/>
      <color rgb="FF5CB85C"/>
      <name val="Calibri"/>
      <family val="2"/>
      <scheme val="minor"/>
    </font>
    <font>
      <sz val="16"/>
      <color theme="4" tint="0.39997558519241921"/>
      <name val="Calibri"/>
      <family val="2"/>
      <scheme val="minor"/>
    </font>
    <font>
      <b/>
      <sz val="22"/>
      <color theme="4" tint="0.39997558519241921"/>
      <name val="Calibri"/>
      <family val="2"/>
      <scheme val="minor"/>
    </font>
    <font>
      <b/>
      <sz val="12"/>
      <color rgb="FF5CB85C"/>
      <name val="Calibri"/>
      <family val="2"/>
      <scheme val="minor"/>
    </font>
    <font>
      <sz val="11"/>
      <color rgb="FF8AACCC"/>
      <name val="Calibri"/>
      <family val="2"/>
      <scheme val="minor"/>
    </font>
    <font>
      <b/>
      <sz val="14"/>
      <color theme="4" tint="0.3999755851924192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rgb="FF1E2D45"/>
        <bgColor indexed="64"/>
      </patternFill>
    </fill>
    <fill>
      <patternFill patternType="solid">
        <fgColor rgb="FF151F30"/>
        <bgColor indexed="64"/>
      </patternFill>
    </fill>
    <fill>
      <patternFill patternType="solid">
        <fgColor rgb="FF243652"/>
        <bgColor indexed="64"/>
      </patternFill>
    </fill>
    <fill>
      <patternFill patternType="solid">
        <fgColor theme="8" tint="-0.499984740745262"/>
        <bgColor indexed="64"/>
      </patternFill>
    </fill>
    <fill>
      <patternFill patternType="solid">
        <fgColor rgb="FF475569"/>
        <bgColor indexed="64"/>
      </patternFill>
    </fill>
    <fill>
      <patternFill patternType="solid">
        <fgColor rgb="FF162236"/>
        <bgColor indexed="64"/>
      </patternFill>
    </fill>
  </fills>
  <borders count="37">
    <border>
      <left/>
      <right/>
      <top/>
      <bottom/>
      <diagonal/>
    </border>
    <border>
      <left/>
      <right/>
      <top style="thin">
        <color theme="4" tint="0.39997558519241921"/>
      </top>
      <bottom/>
      <diagonal/>
    </border>
    <border>
      <left/>
      <right/>
      <top/>
      <bottom style="thin">
        <color theme="4" tint="0.39997558519241921"/>
      </bottom>
      <diagonal/>
    </border>
    <border>
      <left style="thin">
        <color rgb="FF8AACCC"/>
      </left>
      <right/>
      <top/>
      <bottom style="thin">
        <color rgb="FF8AACCC"/>
      </bottom>
      <diagonal/>
    </border>
    <border>
      <left/>
      <right/>
      <top/>
      <bottom style="thin">
        <color rgb="FF8AACCC"/>
      </bottom>
      <diagonal/>
    </border>
    <border>
      <left style="thin">
        <color rgb="FF8AACCC"/>
      </left>
      <right/>
      <top/>
      <bottom/>
      <diagonal/>
    </border>
    <border>
      <left/>
      <right/>
      <top style="medium">
        <color theme="4" tint="-0.249977111117893"/>
      </top>
      <bottom/>
      <diagonal/>
    </border>
    <border>
      <left/>
      <right/>
      <top/>
      <bottom style="medium">
        <color theme="4" tint="-0.249977111117893"/>
      </bottom>
      <diagonal/>
    </border>
    <border>
      <left style="medium">
        <color rgb="FF1E3A5F"/>
      </left>
      <right/>
      <top style="medium">
        <color rgb="FF1E3A5F"/>
      </top>
      <bottom style="medium">
        <color rgb="FF1E3A5F"/>
      </bottom>
      <diagonal/>
    </border>
    <border>
      <left/>
      <right/>
      <top style="medium">
        <color rgb="FF1E3A5F"/>
      </top>
      <bottom style="medium">
        <color rgb="FF1E3A5F"/>
      </bottom>
      <diagonal/>
    </border>
    <border>
      <left/>
      <right style="medium">
        <color rgb="FF1E3A5F"/>
      </right>
      <top style="medium">
        <color rgb="FF1E3A5F"/>
      </top>
      <bottom style="medium">
        <color rgb="FF1E3A5F"/>
      </bottom>
      <diagonal/>
    </border>
    <border>
      <left/>
      <right/>
      <top style="medium">
        <color rgb="FF1E3A5F"/>
      </top>
      <bottom/>
      <diagonal/>
    </border>
    <border>
      <left/>
      <right style="medium">
        <color rgb="FF1E3A5F"/>
      </right>
      <top style="medium">
        <color rgb="FF1E3A5F"/>
      </top>
      <bottom/>
      <diagonal/>
    </border>
    <border>
      <left/>
      <right style="medium">
        <color rgb="FF1E3A5F"/>
      </right>
      <top/>
      <bottom/>
      <diagonal/>
    </border>
    <border>
      <left/>
      <right style="medium">
        <color rgb="FF1E3A5F"/>
      </right>
      <top/>
      <bottom style="medium">
        <color theme="4" tint="-0.249977111117893"/>
      </bottom>
      <diagonal/>
    </border>
    <border>
      <left/>
      <right/>
      <top/>
      <bottom style="medium">
        <color rgb="FF1E3A5F"/>
      </bottom>
      <diagonal/>
    </border>
    <border>
      <left/>
      <right style="medium">
        <color rgb="FF1E3A5F"/>
      </right>
      <top/>
      <bottom style="medium">
        <color rgb="FF1E3A5F"/>
      </bottom>
      <diagonal/>
    </border>
    <border>
      <left/>
      <right style="thick">
        <color rgb="FF5CB85C"/>
      </right>
      <top/>
      <bottom/>
      <diagonal/>
    </border>
    <border>
      <left/>
      <right style="thick">
        <color rgb="FFE05A5A"/>
      </right>
      <top/>
      <bottom/>
      <diagonal/>
    </border>
    <border>
      <left/>
      <right style="medium">
        <color rgb="FF1E3A5F"/>
      </right>
      <top style="medium">
        <color theme="4" tint="-0.249977111117893"/>
      </top>
      <bottom/>
      <diagonal/>
    </border>
    <border>
      <left style="thick">
        <color rgb="FF8AACCC"/>
      </left>
      <right/>
      <top style="medium">
        <color theme="4" tint="-0.249977111117893"/>
      </top>
      <bottom/>
      <diagonal/>
    </border>
    <border>
      <left style="thick">
        <color rgb="FF8AACCC"/>
      </left>
      <right/>
      <top/>
      <bottom/>
      <diagonal/>
    </border>
    <border>
      <left style="thick">
        <color rgb="FF8AACCC"/>
      </left>
      <right/>
      <top/>
      <bottom style="medium">
        <color theme="4" tint="-0.249977111117893"/>
      </bottom>
      <diagonal/>
    </border>
    <border>
      <left style="thin">
        <color rgb="FFE05A5A"/>
      </left>
      <right/>
      <top/>
      <bottom/>
      <diagonal/>
    </border>
    <border>
      <left style="thin">
        <color rgb="FFE05A5A"/>
      </left>
      <right/>
      <top/>
      <bottom style="thin">
        <color rgb="FFE05A5A"/>
      </bottom>
      <diagonal/>
    </border>
    <border>
      <left/>
      <right/>
      <top/>
      <bottom style="thin">
        <color rgb="FFE05A5A"/>
      </bottom>
      <diagonal/>
    </border>
    <border>
      <left/>
      <right/>
      <top/>
      <bottom style="thick">
        <color rgb="FF1E3A5F"/>
      </bottom>
      <diagonal/>
    </border>
    <border>
      <left style="thin">
        <color rgb="FF1E3A5F"/>
      </left>
      <right/>
      <top style="thin">
        <color rgb="FF1E3A5F"/>
      </top>
      <bottom/>
      <diagonal/>
    </border>
    <border>
      <left/>
      <right/>
      <top style="thin">
        <color rgb="FF1E3A5F"/>
      </top>
      <bottom/>
      <diagonal/>
    </border>
    <border>
      <left/>
      <right style="thin">
        <color rgb="FF1E3A5F"/>
      </right>
      <top style="thin">
        <color rgb="FF1E3A5F"/>
      </top>
      <bottom/>
      <diagonal/>
    </border>
    <border>
      <left style="thin">
        <color rgb="FF1E3A5F"/>
      </left>
      <right/>
      <top/>
      <bottom/>
      <diagonal/>
    </border>
    <border>
      <left/>
      <right style="thin">
        <color rgb="FF1E3A5F"/>
      </right>
      <top/>
      <bottom/>
      <diagonal/>
    </border>
    <border>
      <left style="thin">
        <color rgb="FF1E3A5F"/>
      </left>
      <right/>
      <top/>
      <bottom style="thick">
        <color rgb="FF1E3A5F"/>
      </bottom>
      <diagonal/>
    </border>
    <border>
      <left/>
      <right style="thin">
        <color rgb="FF1E3A5F"/>
      </right>
      <top/>
      <bottom style="thick">
        <color rgb="FF1E3A5F"/>
      </bottom>
      <diagonal/>
    </border>
    <border>
      <left style="thin">
        <color rgb="FF1E3A5F"/>
      </left>
      <right/>
      <top/>
      <bottom style="thin">
        <color rgb="FF1E3A5F"/>
      </bottom>
      <diagonal/>
    </border>
    <border>
      <left/>
      <right/>
      <top/>
      <bottom style="thin">
        <color rgb="FF1E3A5F"/>
      </bottom>
      <diagonal/>
    </border>
    <border>
      <left/>
      <right style="thin">
        <color rgb="FF1E3A5F"/>
      </right>
      <top/>
      <bottom style="thin">
        <color rgb="FF1E3A5F"/>
      </bottom>
      <diagonal/>
    </border>
  </borders>
  <cellStyleXfs count="4">
    <xf numFmtId="0" fontId="0" fillId="0" borderId="0"/>
    <xf numFmtId="0" fontId="2" fillId="0" borderId="0"/>
    <xf numFmtId="9" fontId="10" fillId="0" borderId="0" applyFont="0" applyFill="0" applyBorder="0" applyAlignment="0" applyProtection="0"/>
    <xf numFmtId="0" fontId="12" fillId="0" borderId="0" applyNumberFormat="0" applyFill="0" applyBorder="0" applyAlignment="0" applyProtection="0"/>
  </cellStyleXfs>
  <cellXfs count="134">
    <xf numFmtId="0" fontId="0" fillId="0" borderId="0" xfId="0"/>
    <xf numFmtId="0" fontId="0" fillId="0" borderId="0" xfId="0" applyAlignment="1">
      <alignment horizontal="center" vertical="center"/>
    </xf>
    <xf numFmtId="1" fontId="0" fillId="0" borderId="0" xfId="0" applyNumberFormat="1" applyAlignment="1">
      <alignment horizontal="center" vertical="center"/>
    </xf>
    <xf numFmtId="1"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5" fontId="0" fillId="0" borderId="0" xfId="0" applyNumberFormat="1" applyAlignment="1">
      <alignment horizontal="left"/>
    </xf>
    <xf numFmtId="0" fontId="0" fillId="4" borderId="0" xfId="0" applyFill="1"/>
    <xf numFmtId="0" fontId="0" fillId="5" borderId="0" xfId="0" applyFill="1"/>
    <xf numFmtId="0" fontId="3" fillId="4" borderId="0" xfId="0" applyFont="1" applyFill="1"/>
    <xf numFmtId="0" fontId="3" fillId="5" borderId="0" xfId="0" applyFont="1" applyFill="1"/>
    <xf numFmtId="0" fontId="0" fillId="7" borderId="0" xfId="0" applyFill="1"/>
    <xf numFmtId="0" fontId="11" fillId="4" borderId="0" xfId="0" applyFont="1" applyFill="1" applyAlignment="1">
      <alignment horizontal="left" vertical="center"/>
    </xf>
    <xf numFmtId="168" fontId="11" fillId="4" borderId="0" xfId="0" applyNumberFormat="1" applyFont="1" applyFill="1" applyAlignment="1">
      <alignment horizontal="left" vertical="center"/>
    </xf>
    <xf numFmtId="167" fontId="11" fillId="4" borderId="0" xfId="2" applyNumberFormat="1" applyFont="1" applyFill="1" applyAlignment="1">
      <alignment horizontal="left" vertical="center"/>
    </xf>
    <xf numFmtId="2" fontId="0" fillId="0" borderId="0" xfId="2" applyNumberFormat="1" applyFont="1"/>
    <xf numFmtId="0" fontId="0" fillId="4" borderId="0" xfId="0" applyFill="1" applyAlignment="1">
      <alignment horizontal="left" vertical="center"/>
    </xf>
    <xf numFmtId="167" fontId="11" fillId="4" borderId="0" xfId="2" applyNumberFormat="1" applyFont="1" applyFill="1" applyBorder="1" applyAlignment="1">
      <alignment horizontal="left" vertical="center"/>
    </xf>
    <xf numFmtId="0" fontId="14" fillId="7" borderId="0" xfId="0" applyFont="1" applyFill="1" applyAlignment="1">
      <alignment vertical="center"/>
    </xf>
    <xf numFmtId="0" fontId="1" fillId="7" borderId="0" xfId="0" applyFont="1" applyFill="1" applyAlignment="1">
      <alignment vertical="center"/>
    </xf>
    <xf numFmtId="0" fontId="11" fillId="7" borderId="0" xfId="0" applyFont="1" applyFill="1" applyAlignment="1">
      <alignment horizontal="left" vertical="center"/>
    </xf>
    <xf numFmtId="168" fontId="11" fillId="7" borderId="0" xfId="0" applyNumberFormat="1" applyFont="1" applyFill="1" applyAlignment="1">
      <alignment horizontal="left" vertical="center"/>
    </xf>
    <xf numFmtId="0" fontId="0" fillId="7" borderId="0" xfId="0" applyFill="1" applyAlignment="1">
      <alignment horizontal="left" vertical="center"/>
    </xf>
    <xf numFmtId="167" fontId="11" fillId="7" borderId="0" xfId="2" applyNumberFormat="1" applyFont="1" applyFill="1" applyAlignment="1">
      <alignment horizontal="left" vertical="center"/>
    </xf>
    <xf numFmtId="167" fontId="11" fillId="7" borderId="0" xfId="2" applyNumberFormat="1" applyFont="1" applyFill="1" applyBorder="1" applyAlignment="1">
      <alignment horizontal="left" vertical="center"/>
    </xf>
    <xf numFmtId="165" fontId="11" fillId="4" borderId="0" xfId="0" applyNumberFormat="1" applyFont="1" applyFill="1" applyAlignment="1">
      <alignment horizontal="left" vertical="center"/>
    </xf>
    <xf numFmtId="168" fontId="11" fillId="4" borderId="0" xfId="0" applyNumberFormat="1" applyFont="1" applyFill="1" applyAlignment="1">
      <alignment vertical="center"/>
    </xf>
    <xf numFmtId="165" fontId="11" fillId="7" borderId="0" xfId="0" applyNumberFormat="1" applyFont="1" applyFill="1" applyAlignment="1">
      <alignment horizontal="left" vertical="center"/>
    </xf>
    <xf numFmtId="168" fontId="11" fillId="7" borderId="0" xfId="0" applyNumberFormat="1" applyFont="1" applyFill="1" applyAlignment="1">
      <alignment vertical="center"/>
    </xf>
    <xf numFmtId="165" fontId="0" fillId="4" borderId="0" xfId="0" applyNumberFormat="1" applyFill="1"/>
    <xf numFmtId="0" fontId="0" fillId="4" borderId="0" xfId="0" applyFill="1" applyAlignment="1">
      <alignment horizontal="right"/>
    </xf>
    <xf numFmtId="0" fontId="14" fillId="7" borderId="0" xfId="0" applyFont="1" applyFill="1" applyAlignment="1">
      <alignment horizontal="right" vertical="center"/>
    </xf>
    <xf numFmtId="168" fontId="11" fillId="4" borderId="0" xfId="0" applyNumberFormat="1" applyFont="1" applyFill="1" applyAlignment="1">
      <alignment horizontal="right" vertical="center"/>
    </xf>
    <xf numFmtId="9" fontId="3" fillId="4" borderId="0" xfId="2" applyFont="1" applyFill="1"/>
    <xf numFmtId="0" fontId="19" fillId="4" borderId="0" xfId="0" applyFont="1" applyFill="1"/>
    <xf numFmtId="14" fontId="0" fillId="0" borderId="0" xfId="0" applyNumberFormat="1"/>
    <xf numFmtId="20" fontId="0" fillId="0" borderId="0" xfId="0" applyNumberFormat="1"/>
    <xf numFmtId="168" fontId="0" fillId="4" borderId="0" xfId="0" applyNumberFormat="1" applyFill="1"/>
    <xf numFmtId="0" fontId="21" fillId="4" borderId="0" xfId="0" applyFont="1" applyFill="1"/>
    <xf numFmtId="0" fontId="0" fillId="4" borderId="17" xfId="0" applyFill="1" applyBorder="1"/>
    <xf numFmtId="0" fontId="0" fillId="4" borderId="18" xfId="0" applyFill="1" applyBorder="1"/>
    <xf numFmtId="0" fontId="21" fillId="4" borderId="18" xfId="0" applyFont="1" applyFill="1" applyBorder="1"/>
    <xf numFmtId="166" fontId="22" fillId="4" borderId="0" xfId="0" applyNumberFormat="1" applyFont="1" applyFill="1"/>
    <xf numFmtId="0" fontId="0" fillId="9" borderId="26" xfId="0" applyFill="1" applyBorder="1"/>
    <xf numFmtId="17" fontId="0" fillId="9" borderId="26" xfId="0" applyNumberFormat="1" applyFill="1" applyBorder="1"/>
    <xf numFmtId="17" fontId="31" fillId="9" borderId="30" xfId="0" applyNumberFormat="1" applyFont="1" applyFill="1" applyBorder="1" applyAlignment="1">
      <alignment horizontal="center"/>
    </xf>
    <xf numFmtId="0" fontId="0" fillId="9" borderId="0" xfId="0" applyFill="1"/>
    <xf numFmtId="17" fontId="31" fillId="9" borderId="0" xfId="0" applyNumberFormat="1" applyFont="1" applyFill="1" applyAlignment="1">
      <alignment horizontal="center"/>
    </xf>
    <xf numFmtId="0" fontId="0" fillId="9" borderId="31" xfId="0" applyFill="1" applyBorder="1"/>
    <xf numFmtId="0" fontId="0" fillId="9" borderId="32" xfId="0" applyFill="1" applyBorder="1"/>
    <xf numFmtId="0" fontId="0" fillId="9" borderId="33" xfId="0" applyFill="1" applyBorder="1"/>
    <xf numFmtId="17" fontId="37" fillId="9" borderId="30" xfId="0" applyNumberFormat="1" applyFont="1" applyFill="1" applyBorder="1" applyAlignment="1">
      <alignment horizontal="center"/>
    </xf>
    <xf numFmtId="17" fontId="28" fillId="9" borderId="0" xfId="0" applyNumberFormat="1" applyFont="1" applyFill="1" applyAlignment="1">
      <alignment horizontal="center"/>
    </xf>
    <xf numFmtId="17" fontId="37" fillId="9" borderId="0" xfId="0" applyNumberFormat="1" applyFont="1" applyFill="1" applyAlignment="1">
      <alignment horizontal="center"/>
    </xf>
    <xf numFmtId="17" fontId="29" fillId="9" borderId="0" xfId="0" applyNumberFormat="1" applyFont="1" applyFill="1" applyAlignment="1">
      <alignment horizontal="center"/>
    </xf>
    <xf numFmtId="0" fontId="0" fillId="9" borderId="34" xfId="0" applyFill="1" applyBorder="1"/>
    <xf numFmtId="0" fontId="0" fillId="9" borderId="35" xfId="0" applyFill="1" applyBorder="1"/>
    <xf numFmtId="0" fontId="0" fillId="9" borderId="36" xfId="0" applyFill="1" applyBorder="1"/>
    <xf numFmtId="0" fontId="0" fillId="9" borderId="27" xfId="0" applyFill="1" applyBorder="1"/>
    <xf numFmtId="0" fontId="0" fillId="9" borderId="29" xfId="0" applyFill="1" applyBorder="1"/>
    <xf numFmtId="0" fontId="0" fillId="9" borderId="30" xfId="0" applyFill="1" applyBorder="1"/>
    <xf numFmtId="0" fontId="21" fillId="9" borderId="0" xfId="0" applyFont="1" applyFill="1"/>
    <xf numFmtId="0" fontId="24" fillId="9" borderId="0" xfId="0" applyFont="1" applyFill="1"/>
    <xf numFmtId="0" fontId="28" fillId="9" borderId="0" xfId="0" applyFont="1" applyFill="1" applyAlignment="1">
      <alignment vertical="center"/>
    </xf>
    <xf numFmtId="0" fontId="23" fillId="9" borderId="0" xfId="0" applyFont="1" applyFill="1"/>
    <xf numFmtId="0" fontId="29" fillId="9" borderId="0" xfId="0" applyFont="1" applyFill="1" applyAlignment="1">
      <alignment vertical="center"/>
    </xf>
    <xf numFmtId="0" fontId="25" fillId="9" borderId="0" xfId="0" applyFont="1" applyFill="1"/>
    <xf numFmtId="0" fontId="26" fillId="9" borderId="0" xfId="0" applyFont="1" applyFill="1"/>
    <xf numFmtId="0" fontId="39" fillId="9" borderId="0" xfId="0" applyFont="1" applyFill="1"/>
    <xf numFmtId="0" fontId="6" fillId="5" borderId="0" xfId="0" applyFont="1" applyFill="1" applyAlignment="1">
      <alignment horizontal="center" vertical="top"/>
    </xf>
    <xf numFmtId="169" fontId="0" fillId="0" borderId="0" xfId="0" applyNumberFormat="1" applyAlignment="1">
      <alignment horizontal="center" vertical="center"/>
    </xf>
    <xf numFmtId="169" fontId="0" fillId="0" borderId="0" xfId="0" applyNumberFormat="1"/>
    <xf numFmtId="0" fontId="0" fillId="0" borderId="0" xfId="0" applyAlignment="1">
      <alignment wrapText="1"/>
    </xf>
    <xf numFmtId="0" fontId="38" fillId="9" borderId="0" xfId="0" applyFont="1" applyFill="1" applyAlignment="1">
      <alignment horizontal="left" vertical="center" wrapText="1"/>
    </xf>
    <xf numFmtId="0" fontId="38" fillId="9" borderId="31" xfId="0" applyFont="1" applyFill="1" applyBorder="1" applyAlignment="1">
      <alignment horizontal="left" vertical="center" wrapText="1"/>
    </xf>
    <xf numFmtId="0" fontId="38" fillId="9" borderId="30" xfId="0" applyFont="1" applyFill="1" applyBorder="1" applyAlignment="1">
      <alignment horizontal="center" vertical="center" wrapText="1"/>
    </xf>
    <xf numFmtId="0" fontId="38" fillId="9" borderId="0" xfId="0" applyFont="1" applyFill="1" applyAlignment="1">
      <alignment horizontal="right" vertical="center" wrapText="1"/>
    </xf>
    <xf numFmtId="0" fontId="6" fillId="5" borderId="0" xfId="0" applyFont="1" applyFill="1" applyAlignment="1">
      <alignment horizontal="center" vertical="top"/>
    </xf>
    <xf numFmtId="0" fontId="12" fillId="5" borderId="0" xfId="3" applyFill="1" applyAlignment="1">
      <alignment horizontal="center"/>
    </xf>
    <xf numFmtId="0" fontId="7" fillId="5" borderId="0" xfId="0" applyFont="1" applyFill="1" applyAlignment="1">
      <alignment horizontal="center" vertical="center"/>
    </xf>
    <xf numFmtId="0" fontId="32" fillId="9" borderId="11" xfId="0" applyFont="1" applyFill="1" applyBorder="1" applyAlignment="1">
      <alignment horizontal="center" vertical="center"/>
    </xf>
    <xf numFmtId="0" fontId="32" fillId="9" borderId="12" xfId="0" applyFont="1" applyFill="1" applyBorder="1" applyAlignment="1">
      <alignment horizontal="center" vertical="center"/>
    </xf>
    <xf numFmtId="0" fontId="30" fillId="9" borderId="8" xfId="0" applyFont="1" applyFill="1" applyBorder="1" applyAlignment="1">
      <alignment horizontal="center" vertical="center"/>
    </xf>
    <xf numFmtId="0" fontId="30" fillId="9" borderId="9" xfId="0" applyFont="1" applyFill="1" applyBorder="1" applyAlignment="1">
      <alignment horizontal="center" vertical="center"/>
    </xf>
    <xf numFmtId="0" fontId="30" fillId="9" borderId="10" xfId="0" applyFont="1" applyFill="1" applyBorder="1" applyAlignment="1">
      <alignment horizontal="center" vertical="center"/>
    </xf>
    <xf numFmtId="0" fontId="35" fillId="9" borderId="0" xfId="0" applyFont="1" applyFill="1" applyAlignment="1">
      <alignment horizontal="left" vertical="center" wrapText="1"/>
    </xf>
    <xf numFmtId="0" fontId="35" fillId="9" borderId="13" xfId="0" applyFont="1" applyFill="1" applyBorder="1" applyAlignment="1">
      <alignment horizontal="left" vertical="center" wrapText="1"/>
    </xf>
    <xf numFmtId="0" fontId="35" fillId="9" borderId="7" xfId="0" applyFont="1" applyFill="1" applyBorder="1" applyAlignment="1">
      <alignment horizontal="left" vertical="center" wrapText="1"/>
    </xf>
    <xf numFmtId="0" fontId="35" fillId="9" borderId="14" xfId="0" applyFont="1" applyFill="1" applyBorder="1" applyAlignment="1">
      <alignment horizontal="left" vertical="center" wrapText="1"/>
    </xf>
    <xf numFmtId="0" fontId="5" fillId="5" borderId="0" xfId="0" applyFont="1" applyFill="1" applyAlignment="1">
      <alignment horizontal="center"/>
    </xf>
    <xf numFmtId="0" fontId="0" fillId="5" borderId="0" xfId="0" applyFill="1" applyAlignment="1">
      <alignment horizontal="center"/>
    </xf>
    <xf numFmtId="0" fontId="27" fillId="8" borderId="0" xfId="0" applyFont="1" applyFill="1" applyAlignment="1">
      <alignment horizontal="left" vertical="center"/>
    </xf>
    <xf numFmtId="0" fontId="26" fillId="8" borderId="0" xfId="0" applyFont="1" applyFill="1" applyAlignment="1">
      <alignment horizontal="left" vertical="center"/>
    </xf>
    <xf numFmtId="0" fontId="30" fillId="9" borderId="28" xfId="0" applyFont="1" applyFill="1" applyBorder="1" applyAlignment="1">
      <alignment horizontal="left" vertical="center"/>
    </xf>
    <xf numFmtId="0" fontId="36" fillId="9" borderId="27" xfId="0" applyFont="1" applyFill="1" applyBorder="1" applyAlignment="1">
      <alignment horizontal="center" vertical="center"/>
    </xf>
    <xf numFmtId="0" fontId="36" fillId="9" borderId="28" xfId="0" applyFont="1" applyFill="1" applyBorder="1" applyAlignment="1">
      <alignment horizontal="center" vertical="center"/>
    </xf>
    <xf numFmtId="0" fontId="36" fillId="9" borderId="29" xfId="0" applyFont="1" applyFill="1" applyBorder="1" applyAlignment="1">
      <alignment horizontal="center" vertical="center"/>
    </xf>
    <xf numFmtId="0" fontId="33" fillId="9" borderId="20" xfId="0" applyFont="1" applyFill="1" applyBorder="1" applyAlignment="1">
      <alignment horizontal="center" vertical="center"/>
    </xf>
    <xf numFmtId="0" fontId="33" fillId="9" borderId="6" xfId="0" applyFont="1" applyFill="1" applyBorder="1" applyAlignment="1">
      <alignment horizontal="center" vertical="center"/>
    </xf>
    <xf numFmtId="0" fontId="33" fillId="9" borderId="19" xfId="0" applyFont="1" applyFill="1" applyBorder="1" applyAlignment="1">
      <alignment horizontal="center" vertical="center"/>
    </xf>
    <xf numFmtId="0" fontId="35" fillId="9" borderId="21" xfId="0" applyFont="1" applyFill="1" applyBorder="1" applyAlignment="1">
      <alignment horizontal="left" vertical="center" wrapText="1"/>
    </xf>
    <xf numFmtId="0" fontId="35" fillId="9" borderId="22" xfId="0" applyFont="1" applyFill="1" applyBorder="1" applyAlignment="1">
      <alignment horizontal="left" vertical="center" wrapText="1"/>
    </xf>
    <xf numFmtId="0" fontId="34" fillId="9" borderId="0" xfId="0" applyFont="1" applyFill="1" applyAlignment="1">
      <alignment horizontal="center" vertical="center"/>
    </xf>
    <xf numFmtId="0" fontId="34" fillId="9" borderId="13" xfId="0" applyFont="1" applyFill="1" applyBorder="1" applyAlignment="1">
      <alignment horizontal="center" vertical="center"/>
    </xf>
    <xf numFmtId="0" fontId="35" fillId="9" borderId="15" xfId="0" applyFont="1" applyFill="1" applyBorder="1" applyAlignment="1">
      <alignment horizontal="left" vertical="center" wrapText="1"/>
    </xf>
    <xf numFmtId="0" fontId="35" fillId="9" borderId="16" xfId="0" applyFont="1" applyFill="1" applyBorder="1" applyAlignment="1">
      <alignment horizontal="left" vertical="center" wrapText="1"/>
    </xf>
    <xf numFmtId="0" fontId="32" fillId="9" borderId="0" xfId="0" applyFont="1" applyFill="1" applyAlignment="1">
      <alignment horizontal="center" vertical="center"/>
    </xf>
    <xf numFmtId="0" fontId="32" fillId="9" borderId="13" xfId="0" applyFont="1" applyFill="1" applyBorder="1" applyAlignment="1">
      <alignment horizontal="center" vertical="center"/>
    </xf>
    <xf numFmtId="0" fontId="39" fillId="9" borderId="0" xfId="0" applyFont="1" applyFill="1" applyAlignment="1">
      <alignment horizontal="center" vertical="center"/>
    </xf>
    <xf numFmtId="0" fontId="21" fillId="5" borderId="5" xfId="0" applyFont="1" applyFill="1" applyBorder="1" applyAlignment="1">
      <alignment horizontal="left" vertical="center"/>
    </xf>
    <xf numFmtId="0" fontId="21" fillId="5" borderId="0" xfId="0" applyFont="1" applyFill="1" applyAlignment="1">
      <alignment horizontal="left" vertical="center"/>
    </xf>
    <xf numFmtId="166" fontId="9" fillId="5" borderId="5" xfId="0" applyNumberFormat="1" applyFont="1" applyFill="1" applyBorder="1" applyAlignment="1">
      <alignment horizontal="left" vertical="center"/>
    </xf>
    <xf numFmtId="166" fontId="9" fillId="5" borderId="0" xfId="0" applyNumberFormat="1" applyFont="1" applyFill="1" applyAlignment="1">
      <alignment horizontal="left" vertical="center"/>
    </xf>
    <xf numFmtId="166" fontId="20" fillId="5" borderId="3" xfId="0" applyNumberFormat="1" applyFont="1" applyFill="1" applyBorder="1" applyAlignment="1">
      <alignment horizontal="left" vertical="center"/>
    </xf>
    <xf numFmtId="166" fontId="20" fillId="5" borderId="4" xfId="0" applyNumberFormat="1" applyFont="1" applyFill="1" applyBorder="1" applyAlignment="1">
      <alignment horizontal="left" vertical="center"/>
    </xf>
    <xf numFmtId="166" fontId="20" fillId="5" borderId="24" xfId="0" applyNumberFormat="1" applyFont="1" applyFill="1" applyBorder="1" applyAlignment="1">
      <alignment horizontal="left" vertical="center"/>
    </xf>
    <xf numFmtId="166" fontId="20" fillId="5" borderId="25" xfId="0" applyNumberFormat="1" applyFont="1" applyFill="1" applyBorder="1" applyAlignment="1">
      <alignment horizontal="left" vertical="center"/>
    </xf>
    <xf numFmtId="0" fontId="21" fillId="5" borderId="23" xfId="0" applyFont="1" applyFill="1" applyBorder="1" applyAlignment="1">
      <alignment horizontal="left" vertical="center"/>
    </xf>
    <xf numFmtId="8" fontId="9" fillId="5" borderId="23" xfId="0" applyNumberFormat="1" applyFont="1" applyFill="1" applyBorder="1" applyAlignment="1">
      <alignment horizontal="left" vertical="center"/>
    </xf>
    <xf numFmtId="8" fontId="9" fillId="5" borderId="0" xfId="0" applyNumberFormat="1" applyFont="1" applyFill="1" applyAlignment="1">
      <alignment horizontal="left" vertical="center"/>
    </xf>
    <xf numFmtId="0" fontId="17" fillId="5" borderId="2" xfId="0" applyFont="1" applyFill="1" applyBorder="1" applyAlignment="1">
      <alignment horizontal="center" vertical="center"/>
    </xf>
    <xf numFmtId="0" fontId="16" fillId="6" borderId="1" xfId="0" applyFont="1" applyFill="1" applyBorder="1" applyAlignment="1">
      <alignment horizontal="center" vertical="center"/>
    </xf>
    <xf numFmtId="0" fontId="18" fillId="6" borderId="0" xfId="0" applyFont="1" applyFill="1" applyAlignment="1">
      <alignment horizontal="left" vertical="center" wrapText="1"/>
    </xf>
    <xf numFmtId="0" fontId="15" fillId="6" borderId="0" xfId="0" applyFont="1" applyFill="1" applyAlignment="1">
      <alignment horizontal="left" vertical="center" wrapText="1"/>
    </xf>
    <xf numFmtId="0" fontId="13" fillId="7" borderId="0" xfId="0" applyFont="1" applyFill="1" applyAlignment="1">
      <alignment horizontal="center"/>
    </xf>
    <xf numFmtId="0" fontId="16" fillId="4" borderId="0" xfId="0" applyFont="1" applyFill="1" applyAlignment="1">
      <alignment horizontal="center" vertical="center"/>
    </xf>
    <xf numFmtId="0" fontId="0" fillId="4" borderId="0" xfId="0" applyFill="1" applyAlignment="1">
      <alignment horizontal="center" vertical="center"/>
    </xf>
    <xf numFmtId="0" fontId="0" fillId="7" borderId="0" xfId="0" applyFill="1" applyAlignment="1">
      <alignment horizontal="center"/>
    </xf>
    <xf numFmtId="0" fontId="4" fillId="2" borderId="0" xfId="0" applyFont="1" applyFill="1" applyAlignment="1">
      <alignment horizontal="center" vertical="center"/>
    </xf>
    <xf numFmtId="0" fontId="4" fillId="3" borderId="0" xfId="0" applyFont="1" applyFill="1" applyAlignment="1">
      <alignment horizontal="center" vertical="center"/>
    </xf>
    <xf numFmtId="0" fontId="9" fillId="5" borderId="5" xfId="0" applyNumberFormat="1" applyFont="1" applyFill="1" applyBorder="1" applyAlignment="1">
      <alignment horizontal="left" vertical="center"/>
    </xf>
    <xf numFmtId="0" fontId="9" fillId="5" borderId="0" xfId="0" applyNumberFormat="1" applyFont="1" applyFill="1" applyAlignment="1">
      <alignment horizontal="left" vertical="center"/>
    </xf>
  </cellXfs>
  <cellStyles count="4">
    <cellStyle name="Hyperlink" xfId="3" builtinId="8"/>
    <cellStyle name="Normal" xfId="0" builtinId="0"/>
    <cellStyle name="Normal 2" xfId="1" xr:uid="{5B15CEFC-101A-4F4E-B889-CB0EA01B0641}"/>
    <cellStyle name="Percent" xfId="2" builtinId="5"/>
  </cellStyles>
  <dxfs count="28">
    <dxf>
      <numFmt numFmtId="165" formatCode="mmm/yyyy"/>
    </dxf>
    <dxf>
      <numFmt numFmtId="1" formatCode="0"/>
    </dxf>
    <dxf>
      <numFmt numFmtId="1" formatCode="0"/>
    </dxf>
    <dxf>
      <numFmt numFmtId="1" formatCode="0"/>
    </dxf>
    <dxf>
      <numFmt numFmtId="169" formatCode="[$-409]d\-mmm\-yy;@"/>
    </dxf>
    <dxf>
      <font>
        <color rgb="FF243652"/>
      </font>
    </dxf>
    <dxf>
      <font>
        <color rgb="FFFF4D6D"/>
      </font>
    </dxf>
    <dxf>
      <font>
        <color rgb="FF92D050"/>
      </font>
    </dxf>
    <dxf>
      <font>
        <color rgb="FF243652"/>
      </font>
    </dxf>
    <dxf>
      <alignment horizontal="general" vertical="bottom" textRotation="0" wrapText="0" indent="0" justifyLastLine="0" shrinkToFit="0" readingOrder="0"/>
    </dxf>
    <dxf>
      <numFmt numFmtId="165" formatCode="mmm/yyyy"/>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numFmt numFmtId="1" formatCode="0"/>
      <alignment horizontal="general" vertical="bottom" textRotation="0" wrapText="0" indent="0" justifyLastLine="0" shrinkToFit="0" readingOrder="0"/>
    </dxf>
    <dxf>
      <alignment horizontal="general" vertical="bottom" textRotation="0" wrapText="0" indent="0" justifyLastLine="0" shrinkToFit="0" readingOrder="0"/>
    </dxf>
    <dxf>
      <numFmt numFmtId="169" formatCode="[$-409]d\-mmm\-yy;@"/>
      <alignment horizontal="general" vertical="bottom" textRotation="0" wrapText="0" indent="0" justifyLastLine="0" shrinkToFit="0" readingOrder="0"/>
    </dxf>
    <dxf>
      <alignment horizontal="general" vertical="bottom" textRotation="0" wrapText="0" indent="0" justifyLastLine="0" shrinkToFit="0" readingOrder="0"/>
    </dxf>
    <dxf>
      <alignment horizontal="center" vertical="center" textRotation="0" wrapText="0" indent="0" justifyLastLine="0" shrinkToFit="0" readingOrder="0"/>
    </dxf>
    <dxf>
      <fill>
        <patternFill>
          <fgColor rgb="FF243652"/>
        </patternFill>
      </fill>
    </dxf>
    <dxf>
      <font>
        <color rgb="FF1E2D45"/>
      </font>
    </dxf>
    <dxf>
      <font>
        <color rgb="FF1E2D45"/>
      </font>
    </dxf>
    <dxf>
      <font>
        <color auto="1"/>
      </font>
      <fill>
        <patternFill>
          <fgColor theme="4" tint="0.79998168889431442"/>
        </patternFill>
      </fill>
      <border diagonalUp="0" diagonalDown="0">
        <left/>
        <right/>
        <top/>
        <bottom/>
        <vertical/>
        <horizontal/>
      </border>
    </dxf>
    <dxf>
      <font>
        <b/>
        <color theme="1"/>
      </font>
      <fill>
        <patternFill patternType="solid">
          <fgColor rgb="FF9BC2E6"/>
        </patternFill>
      </fill>
      <border>
        <bottom style="thin">
          <color theme="8"/>
        </bottom>
        <vertical/>
        <horizontal/>
      </border>
    </dxf>
    <dxf>
      <font>
        <color theme="0"/>
      </font>
      <fill>
        <patternFill patternType="solid">
          <fgColor rgb="FF9BC2E6"/>
          <bgColor rgb="FF1E2D45"/>
        </patternFill>
      </fill>
      <border diagonalUp="0" diagonalDown="0">
        <left/>
        <right/>
        <top/>
        <bottom/>
        <vertical/>
        <horizontal/>
      </border>
    </dxf>
  </dxfs>
  <tableStyles count="6" defaultTableStyle="TableStyleMedium2" defaultPivotStyle="PivotStyleLight16">
    <tableStyle name="MyStyle" pivot="0" table="0" count="10" xr9:uid="{B11BD77E-FCCB-43C4-B893-A45453B09949}">
      <tableStyleElement type="wholeTable" dxfId="27"/>
      <tableStyleElement type="headerRow" dxfId="26"/>
    </tableStyle>
    <tableStyle name="Slicer Style 1" pivot="0" table="0" count="1" xr9:uid="{5EC4632E-6287-45CE-9934-737173D82A39}">
      <tableStyleElement type="wholeTable" dxfId="25"/>
    </tableStyle>
    <tableStyle name="Slicer Style 2" pivot="0" table="0" count="1" xr9:uid="{0B1E00F1-F5B9-4CD8-A221-3A36C235A79C}"/>
    <tableStyle name="Slicer Style 3" pivot="0" table="0" count="2" xr9:uid="{06D969D7-8AC0-4F0B-9648-AE56B62B4605}">
      <tableStyleElement type="wholeTable" dxfId="24"/>
    </tableStyle>
    <tableStyle name="Slicer Style 4" pivot="0" table="0" count="1" xr9:uid="{82896637-54CE-4413-AAA3-E0BE49F2FC0B}">
      <tableStyleElement type="wholeTable" dxfId="23"/>
    </tableStyle>
    <tableStyle name="Slicer Style 5" pivot="0" table="0" count="1" xr9:uid="{AFD2D426-8EBD-4FB8-9FA3-A9FAE112AB78}">
      <tableStyleElement type="wholeTable" dxfId="22"/>
    </tableStyle>
  </tableStyles>
  <colors>
    <mruColors>
      <color rgb="FF1E2D45"/>
      <color rgb="FF151F30"/>
      <color rgb="FF1E3A5F"/>
      <color rgb="FF162236"/>
      <color rgb="FF8AACCC"/>
      <color rgb="FF5CB85C"/>
      <color rgb="FFF0C040"/>
      <color rgb="FFE05A5A"/>
      <color rgb="FF475569"/>
      <color rgb="FFFF5C5C"/>
    </mruColors>
  </colors>
  <extLst>
    <ext xmlns:x14="http://schemas.microsoft.com/office/spreadsheetml/2009/9/main" uri="{46F421CA-312F-682f-3DD2-61675219B42D}">
      <x14:dxfs count="10">
        <dxf>
          <font>
            <color rgb="FF243652"/>
          </font>
        </dxf>
        <dxf>
          <fill>
            <patternFill>
              <fgColor theme="4" tint="0.79998168889431442"/>
            </patternFill>
          </fill>
          <border diagonalUp="0" diagonalDown="0">
            <left/>
            <right/>
            <top/>
            <bottom/>
            <vertical/>
            <horizontal/>
          </border>
        </dxf>
        <dxf>
          <font>
            <color rgb="FF000000"/>
          </font>
          <fill>
            <patternFill patternType="solid">
              <fgColor rgb="FF24365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24365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243652"/>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243652"/>
              <bgColor auto="1"/>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rgb="FF9BC2E6"/>
              <bgColor theme="8"/>
            </pattern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9BC2E6"/>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MyStyle">
        <x14:slicerStyle name="MyStyle">
          <x14:slicerStyleElements>
            <x14:slicerStyleElement type="unselectedItemWithData" dxfId="9"/>
            <x14:slicerStyleElement type="unselectedItemWithNoData" dxfId="8"/>
            <x14:slicerStyleElement type="selectedItemWithData" dxfId="7"/>
            <x14:slicerStyleElement type="selectedItemWithNoData" dxfId="6"/>
            <x14:slicerStyleElement type="hoveredUnselectedItemWithData" dxfId="5"/>
            <x14:slicerStyleElement type="hoveredSelectedItemWithData" dxfId="4"/>
            <x14:slicerStyleElement type="hoveredUnselectedItemWithNoData" dxfId="3"/>
            <x14:slicerStyleElement type="hoveredSelectedItemWithNoData" dxfId="2"/>
          </x14:slicerStyleElements>
        </x14:slicerStyle>
        <x14:slicerStyle name="Slicer Style 1"/>
        <x14:slicerStyle name="Slicer Style 2">
          <x14:slicerStyleElements>
            <x14:slicerStyleElement type="selectedItemWithData" dxfId="1"/>
          </x14:slicerStyleElements>
        </x14:slicerStyle>
        <x14:slicerStyle name="Slicer Style 3">
          <x14:slicerStyleElements>
            <x14:slicerStyleElement type="un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[Personal_finance_analysis_dashboard.xlsx]BarChart!PivotTable2</c:name>
    <c:fmtId val="3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IN" sz="1050" b="1">
                <a:solidFill>
                  <a:schemeClr val="bg1"/>
                </a:solidFill>
              </a:rPr>
              <a:t>Monthly</a:t>
            </a:r>
            <a:r>
              <a:rPr lang="en-IN" sz="1050" b="1" baseline="0">
                <a:solidFill>
                  <a:schemeClr val="bg1"/>
                </a:solidFill>
              </a:rPr>
              <a:t> Income vs Expense</a:t>
            </a:r>
            <a:endParaRPr lang="en-IN" sz="1050" b="1">
              <a:solidFill>
                <a:schemeClr val="bg1"/>
              </a:solidFill>
            </a:endParaRPr>
          </a:p>
        </c:rich>
      </c:tx>
      <c:layout>
        <c:manualLayout>
          <c:xMode val="edge"/>
          <c:yMode val="edge"/>
          <c:x val="0.37615500909527838"/>
          <c:y val="4.565987673467493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4A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4A8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BarChart!$B$6:$B$7</c:f>
              <c:strCache>
                <c:ptCount val="1"/>
                <c:pt idx="0">
                  <c:v>Expense</c:v>
                </c:pt>
              </c:strCache>
            </c:strRef>
          </c:tx>
          <c:spPr>
            <a:solidFill>
              <a:srgbClr val="DC4A3D"/>
            </a:solidFill>
            <a:ln>
              <a:noFill/>
            </a:ln>
            <a:effectLst/>
          </c:spPr>
          <c:invertIfNegative val="0"/>
          <c:cat>
            <c:strRef>
              <c:f>BarChart!$A$8:$A$21</c:f>
              <c:strCache>
                <c:ptCount val="14"/>
                <c:pt idx="0">
                  <c:v>Apr-2025</c:v>
                </c:pt>
                <c:pt idx="1">
                  <c:v>May-2025</c:v>
                </c:pt>
                <c:pt idx="2">
                  <c:v>Jun-2025</c:v>
                </c:pt>
                <c:pt idx="3">
                  <c:v>Jul-2025</c:v>
                </c:pt>
                <c:pt idx="4">
                  <c:v>Aug-2025</c:v>
                </c:pt>
                <c:pt idx="5">
                  <c:v>Sep-2025</c:v>
                </c:pt>
                <c:pt idx="6">
                  <c:v>Oct-2025</c:v>
                </c:pt>
                <c:pt idx="7">
                  <c:v>Nov-2025</c:v>
                </c:pt>
                <c:pt idx="8">
                  <c:v>Dec-2025</c:v>
                </c:pt>
                <c:pt idx="9">
                  <c:v>Jan-2026</c:v>
                </c:pt>
                <c:pt idx="10">
                  <c:v>Feb-2026</c:v>
                </c:pt>
                <c:pt idx="11">
                  <c:v>Mar-2026</c:v>
                </c:pt>
                <c:pt idx="12">
                  <c:v>Apr-2026</c:v>
                </c:pt>
                <c:pt idx="13">
                  <c:v>May-2026</c:v>
                </c:pt>
              </c:strCache>
            </c:strRef>
          </c:cat>
          <c:val>
            <c:numRef>
              <c:f>BarChart!$B$8:$B$21</c:f>
              <c:numCache>
                <c:formatCode>General</c:formatCode>
                <c:ptCount val="14"/>
                <c:pt idx="0">
                  <c:v>226935.15</c:v>
                </c:pt>
                <c:pt idx="1">
                  <c:v>335350.07000000007</c:v>
                </c:pt>
                <c:pt idx="2">
                  <c:v>546761.67999999993</c:v>
                </c:pt>
                <c:pt idx="3">
                  <c:v>160055.15000000002</c:v>
                </c:pt>
                <c:pt idx="4">
                  <c:v>145643.15</c:v>
                </c:pt>
                <c:pt idx="5">
                  <c:v>251824.3</c:v>
                </c:pt>
                <c:pt idx="6">
                  <c:v>63415</c:v>
                </c:pt>
                <c:pt idx="7">
                  <c:v>110011.1</c:v>
                </c:pt>
                <c:pt idx="8">
                  <c:v>291808</c:v>
                </c:pt>
                <c:pt idx="9">
                  <c:v>211056</c:v>
                </c:pt>
                <c:pt idx="10">
                  <c:v>786825.3</c:v>
                </c:pt>
                <c:pt idx="11">
                  <c:v>572467.62</c:v>
                </c:pt>
                <c:pt idx="12">
                  <c:v>672548</c:v>
                </c:pt>
                <c:pt idx="13">
                  <c:v>143470.82</c:v>
                </c:pt>
              </c:numCache>
            </c:numRef>
          </c:val>
          <c:extLst>
            <c:ext xmlns:c16="http://schemas.microsoft.com/office/drawing/2014/chart" uri="{C3380CC4-5D6E-409C-BE32-E72D297353CC}">
              <c16:uniqueId val="{00000000-8D92-472A-947C-BE171B5AEFD3}"/>
            </c:ext>
          </c:extLst>
        </c:ser>
        <c:ser>
          <c:idx val="1"/>
          <c:order val="1"/>
          <c:tx>
            <c:strRef>
              <c:f>BarChart!$C$6:$C$7</c:f>
              <c:strCache>
                <c:ptCount val="1"/>
                <c:pt idx="0">
                  <c:v>Income</c:v>
                </c:pt>
              </c:strCache>
            </c:strRef>
          </c:tx>
          <c:spPr>
            <a:solidFill>
              <a:srgbClr val="04A800"/>
            </a:solidFill>
            <a:ln>
              <a:noFill/>
            </a:ln>
            <a:effectLst/>
          </c:spPr>
          <c:invertIfNegative val="0"/>
          <c:cat>
            <c:strRef>
              <c:f>BarChart!$A$8:$A$21</c:f>
              <c:strCache>
                <c:ptCount val="14"/>
                <c:pt idx="0">
                  <c:v>Apr-2025</c:v>
                </c:pt>
                <c:pt idx="1">
                  <c:v>May-2025</c:v>
                </c:pt>
                <c:pt idx="2">
                  <c:v>Jun-2025</c:v>
                </c:pt>
                <c:pt idx="3">
                  <c:v>Jul-2025</c:v>
                </c:pt>
                <c:pt idx="4">
                  <c:v>Aug-2025</c:v>
                </c:pt>
                <c:pt idx="5">
                  <c:v>Sep-2025</c:v>
                </c:pt>
                <c:pt idx="6">
                  <c:v>Oct-2025</c:v>
                </c:pt>
                <c:pt idx="7">
                  <c:v>Nov-2025</c:v>
                </c:pt>
                <c:pt idx="8">
                  <c:v>Dec-2025</c:v>
                </c:pt>
                <c:pt idx="9">
                  <c:v>Jan-2026</c:v>
                </c:pt>
                <c:pt idx="10">
                  <c:v>Feb-2026</c:v>
                </c:pt>
                <c:pt idx="11">
                  <c:v>Mar-2026</c:v>
                </c:pt>
                <c:pt idx="12">
                  <c:v>Apr-2026</c:v>
                </c:pt>
                <c:pt idx="13">
                  <c:v>May-2026</c:v>
                </c:pt>
              </c:strCache>
            </c:strRef>
          </c:cat>
          <c:val>
            <c:numRef>
              <c:f>BarChart!$C$8:$C$21</c:f>
              <c:numCache>
                <c:formatCode>General</c:formatCode>
                <c:ptCount val="14"/>
                <c:pt idx="0">
                  <c:v>369144</c:v>
                </c:pt>
                <c:pt idx="1">
                  <c:v>291655.17000000004</c:v>
                </c:pt>
                <c:pt idx="2">
                  <c:v>565361.52</c:v>
                </c:pt>
                <c:pt idx="3">
                  <c:v>132557.51999999999</c:v>
                </c:pt>
                <c:pt idx="4">
                  <c:v>157967.52000000002</c:v>
                </c:pt>
                <c:pt idx="5">
                  <c:v>211233.36</c:v>
                </c:pt>
                <c:pt idx="6">
                  <c:v>132438.51999999999</c:v>
                </c:pt>
                <c:pt idx="7">
                  <c:v>1614152.52</c:v>
                </c:pt>
                <c:pt idx="8">
                  <c:v>122396.04000000001</c:v>
                </c:pt>
                <c:pt idx="9">
                  <c:v>121002</c:v>
                </c:pt>
                <c:pt idx="10">
                  <c:v>170884.52</c:v>
                </c:pt>
                <c:pt idx="11">
                  <c:v>1008449.52</c:v>
                </c:pt>
                <c:pt idx="12">
                  <c:v>254633</c:v>
                </c:pt>
              </c:numCache>
            </c:numRef>
          </c:val>
          <c:extLst>
            <c:ext xmlns:c16="http://schemas.microsoft.com/office/drawing/2014/chart" uri="{C3380CC4-5D6E-409C-BE32-E72D297353CC}">
              <c16:uniqueId val="{00000002-0781-4266-AD64-E006FEC882C6}"/>
            </c:ext>
          </c:extLst>
        </c:ser>
        <c:dLbls>
          <c:showLegendKey val="0"/>
          <c:showVal val="0"/>
          <c:showCatName val="0"/>
          <c:showSerName val="0"/>
          <c:showPercent val="0"/>
          <c:showBubbleSize val="0"/>
        </c:dLbls>
        <c:gapWidth val="219"/>
        <c:overlap val="-27"/>
        <c:axId val="1399843648"/>
        <c:axId val="1399840288"/>
      </c:barChart>
      <c:catAx>
        <c:axId val="13998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99840288"/>
        <c:crosses val="autoZero"/>
        <c:auto val="1"/>
        <c:lblAlgn val="ctr"/>
        <c:lblOffset val="100"/>
        <c:noMultiLvlLbl val="0"/>
      </c:catAx>
      <c:valAx>
        <c:axId val="1399840288"/>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99843648"/>
        <c:crosses val="autoZero"/>
        <c:crossBetween val="between"/>
      </c:valAx>
      <c:spPr>
        <a:noFill/>
        <a:ln>
          <a:noFill/>
        </a:ln>
        <a:effectLst/>
      </c:spPr>
    </c:plotArea>
    <c:legend>
      <c:legendPos val="r"/>
      <c:layout>
        <c:manualLayout>
          <c:xMode val="edge"/>
          <c:yMode val="edge"/>
          <c:x val="0.68515183851925032"/>
          <c:y val="5.8848432582988747E-2"/>
          <c:w val="9.7593424427722189E-2"/>
          <c:h val="0.148872241864155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F3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[Personal_finance_analysis_dashboard.xlsx]PieChart!PivotTable1</c:name>
    <c:fmtId val="9"/>
  </c:pivotSource>
  <c:chart>
    <c:title>
      <c:tx>
        <c:rich>
          <a:bodyPr rot="0" spcFirstLastPara="1" vertOverflow="ellipsis" vert="horz" wrap="square" anchor="ctr" anchorCtr="1"/>
          <a:lstStyle/>
          <a:p>
            <a:pPr algn="ctr" rtl="0">
              <a:defRPr lang="en-IN" sz="1050" b="1" i="0" u="none" strike="noStrike" kern="1200" spc="0" baseline="0">
                <a:solidFill>
                  <a:schemeClr val="bg1"/>
                </a:solidFill>
                <a:latin typeface="+mn-lt"/>
                <a:ea typeface="+mn-ea"/>
                <a:cs typeface="+mn-cs"/>
              </a:defRPr>
            </a:pPr>
            <a:r>
              <a:rPr lang="en-IN" sz="1050" b="1" i="0" u="none" strike="noStrike" kern="1200" spc="0" baseline="0">
                <a:solidFill>
                  <a:schemeClr val="bg1"/>
                </a:solidFill>
                <a:latin typeface="+mn-lt"/>
                <a:ea typeface="+mn-ea"/>
                <a:cs typeface="+mn-cs"/>
              </a:rPr>
              <a:t>Expense Breakdown</a:t>
            </a:r>
          </a:p>
        </c:rich>
      </c:tx>
      <c:layout>
        <c:manualLayout>
          <c:xMode val="edge"/>
          <c:yMode val="edge"/>
          <c:x val="0.65796735842259801"/>
          <c:y val="4.9246248043398742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C5A5A"/>
          </a:solidFill>
          <a:ln w="19050">
            <a:solidFill>
              <a:schemeClr val="lt1"/>
            </a:solidFill>
          </a:ln>
          <a:effectLst/>
        </c:spPr>
      </c:pivotFmt>
      <c:pivotFmt>
        <c:idx val="3"/>
        <c:spPr>
          <a:solidFill>
            <a:srgbClr val="3B5BDB"/>
          </a:solidFill>
          <a:ln w="19050">
            <a:solidFill>
              <a:schemeClr val="lt1"/>
            </a:solidFill>
          </a:ln>
          <a:effectLst/>
        </c:spPr>
      </c:pivotFmt>
      <c:pivotFmt>
        <c:idx val="4"/>
        <c:spPr>
          <a:solidFill>
            <a:srgbClr val="D97706"/>
          </a:solidFill>
          <a:ln w="19050">
            <a:solidFill>
              <a:schemeClr val="lt1"/>
            </a:solidFill>
          </a:ln>
          <a:effectLst/>
        </c:spPr>
      </c:pivotFmt>
      <c:pivotFmt>
        <c:idx val="5"/>
        <c:spPr>
          <a:solidFill>
            <a:srgbClr val="7048A8"/>
          </a:solidFill>
          <a:ln w="19050">
            <a:solidFill>
              <a:schemeClr val="lt1"/>
            </a:solidFill>
          </a:ln>
          <a:effectLst/>
        </c:spPr>
      </c:pivotFmt>
      <c:pivotFmt>
        <c:idx val="6"/>
        <c:spPr>
          <a:solidFill>
            <a:srgbClr val="6C757D"/>
          </a:solidFill>
          <a:ln w="19050">
            <a:solidFill>
              <a:schemeClr val="lt1"/>
            </a:solidFill>
          </a:ln>
          <a:effectLst/>
        </c:spPr>
      </c:pivotFmt>
      <c:pivotFmt>
        <c:idx val="7"/>
        <c:spPr>
          <a:solidFill>
            <a:srgbClr val="0D9488"/>
          </a:solidFill>
          <a:ln w="19050">
            <a:solidFill>
              <a:schemeClr val="lt1"/>
            </a:solidFill>
          </a:ln>
          <a:effectLst/>
        </c:spPr>
      </c:pivotFmt>
      <c:pivotFmt>
        <c:idx val="8"/>
        <c:spPr>
          <a:solidFill>
            <a:srgbClr val="2196F3"/>
          </a:solidFill>
          <a:ln w="19050">
            <a:solidFill>
              <a:schemeClr val="lt1"/>
            </a:solidFill>
          </a:ln>
          <a:effectLst/>
        </c:spPr>
      </c:pivotFmt>
    </c:pivotFmts>
    <c:plotArea>
      <c:layout>
        <c:manualLayout>
          <c:layoutTarget val="inner"/>
          <c:xMode val="edge"/>
          <c:yMode val="edge"/>
          <c:x val="0.30579584654304259"/>
          <c:y val="0.10560024196581715"/>
          <c:w val="0.29870765920765152"/>
          <c:h val="0.59913640262836221"/>
        </c:manualLayout>
      </c:layout>
      <c:doughnutChart>
        <c:varyColors val="1"/>
        <c:ser>
          <c:idx val="0"/>
          <c:order val="0"/>
          <c:tx>
            <c:strRef>
              <c:f>PieChart!$B$6</c:f>
              <c:strCache>
                <c:ptCount val="1"/>
                <c:pt idx="0">
                  <c:v>Total</c:v>
                </c:pt>
              </c:strCache>
            </c:strRef>
          </c:tx>
          <c:dPt>
            <c:idx val="0"/>
            <c:bubble3D val="0"/>
            <c:spPr>
              <a:solidFill>
                <a:srgbClr val="DC5A5A"/>
              </a:solidFill>
              <a:ln w="19050">
                <a:solidFill>
                  <a:schemeClr val="lt1"/>
                </a:solidFill>
              </a:ln>
              <a:effectLst/>
            </c:spPr>
            <c:extLst>
              <c:ext xmlns:c16="http://schemas.microsoft.com/office/drawing/2014/chart" uri="{C3380CC4-5D6E-409C-BE32-E72D297353CC}">
                <c16:uniqueId val="{00000001-469B-424F-88E5-5284AE7416E8}"/>
              </c:ext>
            </c:extLst>
          </c:dPt>
          <c:dPt>
            <c:idx val="1"/>
            <c:bubble3D val="0"/>
            <c:spPr>
              <a:solidFill>
                <a:srgbClr val="3B5BDB"/>
              </a:solidFill>
              <a:ln w="19050">
                <a:solidFill>
                  <a:schemeClr val="lt1"/>
                </a:solidFill>
              </a:ln>
              <a:effectLst/>
            </c:spPr>
            <c:extLst>
              <c:ext xmlns:c16="http://schemas.microsoft.com/office/drawing/2014/chart" uri="{C3380CC4-5D6E-409C-BE32-E72D297353CC}">
                <c16:uniqueId val="{00000003-469B-424F-88E5-5284AE7416E8}"/>
              </c:ext>
            </c:extLst>
          </c:dPt>
          <c:dPt>
            <c:idx val="2"/>
            <c:bubble3D val="0"/>
            <c:spPr>
              <a:solidFill>
                <a:srgbClr val="D97706"/>
              </a:solidFill>
              <a:ln w="19050">
                <a:solidFill>
                  <a:schemeClr val="lt1"/>
                </a:solidFill>
              </a:ln>
              <a:effectLst/>
            </c:spPr>
            <c:extLst>
              <c:ext xmlns:c16="http://schemas.microsoft.com/office/drawing/2014/chart" uri="{C3380CC4-5D6E-409C-BE32-E72D297353CC}">
                <c16:uniqueId val="{00000005-469B-424F-88E5-5284AE7416E8}"/>
              </c:ext>
            </c:extLst>
          </c:dPt>
          <c:dPt>
            <c:idx val="3"/>
            <c:bubble3D val="0"/>
            <c:spPr>
              <a:solidFill>
                <a:srgbClr val="7048A8"/>
              </a:solidFill>
              <a:ln w="19050">
                <a:solidFill>
                  <a:schemeClr val="lt1"/>
                </a:solidFill>
              </a:ln>
              <a:effectLst/>
            </c:spPr>
            <c:extLst>
              <c:ext xmlns:c16="http://schemas.microsoft.com/office/drawing/2014/chart" uri="{C3380CC4-5D6E-409C-BE32-E72D297353CC}">
                <c16:uniqueId val="{00000007-469B-424F-88E5-5284AE7416E8}"/>
              </c:ext>
            </c:extLst>
          </c:dPt>
          <c:dPt>
            <c:idx val="4"/>
            <c:bubble3D val="0"/>
            <c:spPr>
              <a:solidFill>
                <a:srgbClr val="6C757D"/>
              </a:solidFill>
              <a:ln w="19050">
                <a:solidFill>
                  <a:schemeClr val="lt1"/>
                </a:solidFill>
              </a:ln>
              <a:effectLst/>
            </c:spPr>
            <c:extLst>
              <c:ext xmlns:c16="http://schemas.microsoft.com/office/drawing/2014/chart" uri="{C3380CC4-5D6E-409C-BE32-E72D297353CC}">
                <c16:uniqueId val="{00000009-469B-424F-88E5-5284AE7416E8}"/>
              </c:ext>
            </c:extLst>
          </c:dPt>
          <c:dPt>
            <c:idx val="5"/>
            <c:bubble3D val="0"/>
            <c:spPr>
              <a:solidFill>
                <a:srgbClr val="0D9488"/>
              </a:solidFill>
              <a:ln w="19050">
                <a:solidFill>
                  <a:schemeClr val="lt1"/>
                </a:solidFill>
              </a:ln>
              <a:effectLst/>
            </c:spPr>
            <c:extLst>
              <c:ext xmlns:c16="http://schemas.microsoft.com/office/drawing/2014/chart" uri="{C3380CC4-5D6E-409C-BE32-E72D297353CC}">
                <c16:uniqueId val="{0000000B-469B-424F-88E5-5284AE7416E8}"/>
              </c:ext>
            </c:extLst>
          </c:dPt>
          <c:dPt>
            <c:idx val="6"/>
            <c:bubble3D val="0"/>
            <c:spPr>
              <a:solidFill>
                <a:srgbClr val="2196F3"/>
              </a:solidFill>
              <a:ln w="19050">
                <a:solidFill>
                  <a:schemeClr val="lt1"/>
                </a:solidFill>
              </a:ln>
              <a:effectLst/>
            </c:spPr>
            <c:extLst>
              <c:ext xmlns:c16="http://schemas.microsoft.com/office/drawing/2014/chart" uri="{C3380CC4-5D6E-409C-BE32-E72D297353CC}">
                <c16:uniqueId val="{0000000D-469B-424F-88E5-5284AE7416E8}"/>
              </c:ext>
            </c:extLst>
          </c:dPt>
          <c:cat>
            <c:strRef>
              <c:f>PieChart!$A$7:$A$14</c:f>
              <c:strCache>
                <c:ptCount val="7"/>
                <c:pt idx="0">
                  <c:v>UPI Expense</c:v>
                </c:pt>
                <c:pt idx="1">
                  <c:v>EMI</c:v>
                </c:pt>
                <c:pt idx="2">
                  <c:v>Cash</c:v>
                </c:pt>
                <c:pt idx="3">
                  <c:v>Transfer</c:v>
                </c:pt>
                <c:pt idx="4">
                  <c:v>Other</c:v>
                </c:pt>
                <c:pt idx="5">
                  <c:v>Loan Payment</c:v>
                </c:pt>
                <c:pt idx="6">
                  <c:v>Investment (Outflow)</c:v>
                </c:pt>
              </c:strCache>
            </c:strRef>
          </c:cat>
          <c:val>
            <c:numRef>
              <c:f>PieChart!$B$7:$B$14</c:f>
              <c:numCache>
                <c:formatCode>0</c:formatCode>
                <c:ptCount val="7"/>
                <c:pt idx="0">
                  <c:v>2468491.5800000005</c:v>
                </c:pt>
                <c:pt idx="1">
                  <c:v>1074150.56</c:v>
                </c:pt>
                <c:pt idx="2">
                  <c:v>380000</c:v>
                </c:pt>
                <c:pt idx="3">
                  <c:v>371006</c:v>
                </c:pt>
                <c:pt idx="4">
                  <c:v>137594.20000000001</c:v>
                </c:pt>
                <c:pt idx="5">
                  <c:v>51929</c:v>
                </c:pt>
                <c:pt idx="6">
                  <c:v>35000</c:v>
                </c:pt>
              </c:numCache>
            </c:numRef>
          </c:val>
          <c:extLst>
            <c:ext xmlns:c16="http://schemas.microsoft.com/office/drawing/2014/chart" uri="{C3380CC4-5D6E-409C-BE32-E72D297353CC}">
              <c16:uniqueId val="{0000000E-469B-424F-88E5-5284AE7416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5.5460191826301963E-2"/>
          <c:y val="0.7552126676077725"/>
          <c:w val="0.89204602654026188"/>
          <c:h val="0.18689650162176946"/>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F3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[Personal_finance_analysis_dashboard.xlsx]LineChart!PivotTable2</c:name>
    <c:fmtId val="51"/>
  </c:pivotSource>
  <c:chart>
    <c:title>
      <c:tx>
        <c:rich>
          <a:bodyPr rot="0" spcFirstLastPara="1" vertOverflow="ellipsis" vert="horz" wrap="square" anchor="ctr" anchorCtr="1"/>
          <a:lstStyle/>
          <a:p>
            <a:pPr algn="ctr" rtl="0">
              <a:defRPr lang="en-IN" sz="1050" b="1" i="0" u="none" strike="noStrike" kern="1200" spc="0" baseline="0">
                <a:solidFill>
                  <a:schemeClr val="bg1"/>
                </a:solidFill>
                <a:latin typeface="+mn-lt"/>
                <a:ea typeface="+mn-ea"/>
                <a:cs typeface="+mn-cs"/>
              </a:defRPr>
            </a:pPr>
            <a:r>
              <a:rPr lang="en-IN" sz="1050" b="1" i="0" u="none" strike="noStrike" kern="1200" spc="0" baseline="0">
                <a:solidFill>
                  <a:schemeClr val="bg1"/>
                </a:solidFill>
                <a:latin typeface="+mn-lt"/>
                <a:ea typeface="+mn-ea"/>
                <a:cs typeface="+mn-cs"/>
              </a:rPr>
              <a:t>Net Savings Trend</a:t>
            </a:r>
          </a:p>
        </c:rich>
      </c:tx>
      <c:layout>
        <c:manualLayout>
          <c:xMode val="edge"/>
          <c:yMode val="edge"/>
          <c:x val="0.41510558316612611"/>
          <c:y val="4.9275439793000045E-2"/>
        </c:manualLayout>
      </c:layout>
      <c:overlay val="0"/>
      <c:spPr>
        <a:noFill/>
        <a:ln>
          <a:noFill/>
        </a:ln>
        <a:effectLst/>
      </c:spPr>
      <c:txPr>
        <a:bodyPr rot="0" spcFirstLastPara="1" vertOverflow="ellipsis" vert="horz" wrap="square" anchor="ctr" anchorCtr="1"/>
        <a:lstStyle/>
        <a:p>
          <a:pPr algn="ctr" rtl="0">
            <a:defRPr lang="en-IN"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C4A3D"/>
            </a:solidFill>
            <a:round/>
          </a:ln>
          <a:effectLst/>
        </c:spPr>
        <c:marker>
          <c:symbol val="circle"/>
          <c:size val="5"/>
          <c:spPr>
            <a:solidFill>
              <a:srgbClr val="DC4A3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2D050"/>
            </a:solidFill>
            <a:round/>
          </a:ln>
          <a:effectLst/>
        </c:spPr>
        <c:marker>
          <c:symbol val="circle"/>
          <c:size val="5"/>
          <c:spPr>
            <a:solidFill>
              <a:srgbClr val="92D050"/>
            </a:solidFill>
            <a:ln w="9525">
              <a:solidFill>
                <a:srgbClr val="92D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92D050"/>
            </a:solidFill>
            <a:round/>
          </a:ln>
          <a:effectLst/>
        </c:spP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round/>
          </a:ln>
          <a:effectLst/>
        </c:spPr>
        <c:marker>
          <c:symbol val="circle"/>
          <c:size val="6"/>
          <c:spPr>
            <a:solidFill>
              <a:schemeClr val="accent6">
                <a:lumMod val="60000"/>
                <a:lumOff val="40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07166702806773"/>
          <c:y val="0.16216895688791577"/>
          <c:w val="0.69578756936398978"/>
          <c:h val="0.6324634814672685"/>
        </c:manualLayout>
      </c:layout>
      <c:lineChart>
        <c:grouping val="standard"/>
        <c:varyColors val="0"/>
        <c:ser>
          <c:idx val="0"/>
          <c:order val="0"/>
          <c:tx>
            <c:strRef>
              <c:f>LineChart!$B$4</c:f>
              <c:strCache>
                <c:ptCount val="1"/>
                <c:pt idx="0">
                  <c:v>Total</c:v>
                </c:pt>
              </c:strCache>
            </c:strRef>
          </c:tx>
          <c:spPr>
            <a:ln w="28575" cap="rnd">
              <a:solidFill>
                <a:srgbClr val="92D050"/>
              </a:solidFill>
              <a:round/>
            </a:ln>
            <a:effectLst/>
          </c:spPr>
          <c:marker>
            <c:symbol val="circle"/>
            <c:size val="6"/>
            <c:spPr>
              <a:solidFill>
                <a:schemeClr val="accent6">
                  <a:lumMod val="60000"/>
                  <a:lumOff val="40000"/>
                </a:schemeClr>
              </a:solidFill>
              <a:ln w="9525">
                <a:noFill/>
              </a:ln>
              <a:effectLst/>
            </c:spPr>
          </c:marker>
          <c:cat>
            <c:strRef>
              <c:f>LineChart!$A$5:$A$18</c:f>
              <c:strCache>
                <c:ptCount val="14"/>
                <c:pt idx="0">
                  <c:v>Apr-2025</c:v>
                </c:pt>
                <c:pt idx="1">
                  <c:v>May-2025</c:v>
                </c:pt>
                <c:pt idx="2">
                  <c:v>Jun-2025</c:v>
                </c:pt>
                <c:pt idx="3">
                  <c:v>Jul-2025</c:v>
                </c:pt>
                <c:pt idx="4">
                  <c:v>Aug-2025</c:v>
                </c:pt>
                <c:pt idx="5">
                  <c:v>Sep-2025</c:v>
                </c:pt>
                <c:pt idx="6">
                  <c:v>Oct-2025</c:v>
                </c:pt>
                <c:pt idx="7">
                  <c:v>Nov-2025</c:v>
                </c:pt>
                <c:pt idx="8">
                  <c:v>Dec-2025</c:v>
                </c:pt>
                <c:pt idx="9">
                  <c:v>Jan-2026</c:v>
                </c:pt>
                <c:pt idx="10">
                  <c:v>Feb-2026</c:v>
                </c:pt>
                <c:pt idx="11">
                  <c:v>Mar-2026</c:v>
                </c:pt>
                <c:pt idx="12">
                  <c:v>Apr-2026</c:v>
                </c:pt>
                <c:pt idx="13">
                  <c:v>May-2026</c:v>
                </c:pt>
              </c:strCache>
            </c:strRef>
          </c:cat>
          <c:val>
            <c:numRef>
              <c:f>LineChart!$B$5:$B$18</c:f>
              <c:numCache>
                <c:formatCode>0</c:formatCode>
                <c:ptCount val="14"/>
                <c:pt idx="0">
                  <c:v>142208.84999999998</c:v>
                </c:pt>
                <c:pt idx="1">
                  <c:v>-43694.900000000023</c:v>
                </c:pt>
                <c:pt idx="2">
                  <c:v>18599.840000000026</c:v>
                </c:pt>
                <c:pt idx="3">
                  <c:v>-27497.630000000005</c:v>
                </c:pt>
                <c:pt idx="4">
                  <c:v>12324.37000000001</c:v>
                </c:pt>
                <c:pt idx="5">
                  <c:v>-40590.939999999995</c:v>
                </c:pt>
                <c:pt idx="6">
                  <c:v>69023.51999999999</c:v>
                </c:pt>
                <c:pt idx="7">
                  <c:v>1504141.42</c:v>
                </c:pt>
                <c:pt idx="8">
                  <c:v>-169411.96000000002</c:v>
                </c:pt>
                <c:pt idx="9">
                  <c:v>-90054</c:v>
                </c:pt>
                <c:pt idx="10">
                  <c:v>-615940.78</c:v>
                </c:pt>
                <c:pt idx="11">
                  <c:v>435981.9</c:v>
                </c:pt>
                <c:pt idx="12">
                  <c:v>-417915</c:v>
                </c:pt>
                <c:pt idx="13">
                  <c:v>-143470.82</c:v>
                </c:pt>
              </c:numCache>
            </c:numRef>
          </c:val>
          <c:smooth val="1"/>
          <c:extLst>
            <c:ext xmlns:c16="http://schemas.microsoft.com/office/drawing/2014/chart" uri="{C3380CC4-5D6E-409C-BE32-E72D297353CC}">
              <c16:uniqueId val="{00000000-FCB5-418A-806D-832A7D0FA06E}"/>
            </c:ext>
          </c:extLst>
        </c:ser>
        <c:dLbls>
          <c:showLegendKey val="0"/>
          <c:showVal val="0"/>
          <c:showCatName val="0"/>
          <c:showSerName val="0"/>
          <c:showPercent val="0"/>
          <c:showBubbleSize val="0"/>
        </c:dLbls>
        <c:marker val="1"/>
        <c:smooth val="0"/>
        <c:axId val="837700800"/>
        <c:axId val="837720960"/>
      </c:lineChart>
      <c:catAx>
        <c:axId val="83770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37720960"/>
        <c:crosses val="autoZero"/>
        <c:auto val="1"/>
        <c:lblAlgn val="ctr"/>
        <c:lblOffset val="100"/>
        <c:noMultiLvlLbl val="0"/>
      </c:catAx>
      <c:valAx>
        <c:axId val="837720960"/>
        <c:scaling>
          <c:orientation val="minMax"/>
        </c:scaling>
        <c:delete val="0"/>
        <c:axPos val="l"/>
        <c:majorGridlines>
          <c:spPr>
            <a:ln w="9525" cap="flat" cmpd="sng" algn="ctr">
              <a:no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3770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51F3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331263724287333E-2"/>
          <c:y val="6.3074508472728344E-2"/>
          <c:w val="0.90350681816090661"/>
          <c:h val="0.82265041487459234"/>
        </c:manualLayout>
      </c:layout>
      <c:barChart>
        <c:barDir val="col"/>
        <c:grouping val="clustered"/>
        <c:varyColors val="0"/>
        <c:ser>
          <c:idx val="0"/>
          <c:order val="0"/>
          <c:tx>
            <c:strRef>
              <c:f>Income!$F$5</c:f>
              <c:strCache>
                <c:ptCount val="1"/>
                <c:pt idx="0">
                  <c:v>Salary Income</c:v>
                </c:pt>
              </c:strCache>
            </c:strRef>
          </c:tx>
          <c:spPr>
            <a:solidFill>
              <a:srgbClr val="00B050"/>
            </a:solidFill>
            <a:ln>
              <a:noFill/>
            </a:ln>
            <a:effectLst/>
          </c:spPr>
          <c:invertIfNegative val="0"/>
          <c:cat>
            <c:numRef>
              <c:f>Income!$D$6:$D$19</c:f>
              <c:numCache>
                <c:formatCode>mmm/yyyy</c:formatCode>
                <c:ptCount val="14"/>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Income!$F$6:$F$19</c:f>
              <c:numCache>
                <c:formatCode>"₹"\ #,##0.00</c:formatCode>
                <c:ptCount val="14"/>
                <c:pt idx="0">
                  <c:v>236880</c:v>
                </c:pt>
                <c:pt idx="1">
                  <c:v>113225</c:v>
                </c:pt>
                <c:pt idx="2">
                  <c:v>112936</c:v>
                </c:pt>
                <c:pt idx="3">
                  <c:v>112701</c:v>
                </c:pt>
                <c:pt idx="4">
                  <c:v>129908</c:v>
                </c:pt>
                <c:pt idx="5">
                  <c:v>130474</c:v>
                </c:pt>
                <c:pt idx="6">
                  <c:v>125379</c:v>
                </c:pt>
                <c:pt idx="7">
                  <c:v>109796</c:v>
                </c:pt>
                <c:pt idx="8">
                  <c:v>114065</c:v>
                </c:pt>
                <c:pt idx="9">
                  <c:v>116002</c:v>
                </c:pt>
                <c:pt idx="10">
                  <c:v>114840</c:v>
                </c:pt>
                <c:pt idx="11">
                  <c:v>0</c:v>
                </c:pt>
                <c:pt idx="12">
                  <c:v>240092</c:v>
                </c:pt>
                <c:pt idx="13">
                  <c:v>0</c:v>
                </c:pt>
              </c:numCache>
            </c:numRef>
          </c:val>
          <c:extLst>
            <c:ext xmlns:c16="http://schemas.microsoft.com/office/drawing/2014/chart" uri="{C3380CC4-5D6E-409C-BE32-E72D297353CC}">
              <c16:uniqueId val="{00000000-A201-475D-BFA5-8CA927ADC537}"/>
            </c:ext>
          </c:extLst>
        </c:ser>
        <c:ser>
          <c:idx val="1"/>
          <c:order val="1"/>
          <c:tx>
            <c:strRef>
              <c:f>Income!$H$5</c:f>
              <c:strCache>
                <c:ptCount val="1"/>
                <c:pt idx="0">
                  <c:v>Investment Return </c:v>
                </c:pt>
              </c:strCache>
            </c:strRef>
          </c:tx>
          <c:spPr>
            <a:solidFill>
              <a:schemeClr val="accent2"/>
            </a:solidFill>
            <a:ln>
              <a:noFill/>
            </a:ln>
            <a:effectLst/>
          </c:spPr>
          <c:invertIfNegative val="0"/>
          <c:cat>
            <c:numRef>
              <c:f>Income!$D$6:$D$19</c:f>
              <c:numCache>
                <c:formatCode>mmm/yyyy</c:formatCode>
                <c:ptCount val="14"/>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Income!$H$6:$H$19</c:f>
              <c:numCache>
                <c:formatCode>"₹"\ #,##0.00</c:formatCode>
                <c:ptCount val="14"/>
                <c:pt idx="0">
                  <c:v>74924.479999999996</c:v>
                </c:pt>
                <c:pt idx="1">
                  <c:v>115871.78</c:v>
                </c:pt>
                <c:pt idx="2">
                  <c:v>0</c:v>
                </c:pt>
                <c:pt idx="3">
                  <c:v>0</c:v>
                </c:pt>
                <c:pt idx="4">
                  <c:v>0</c:v>
                </c:pt>
                <c:pt idx="5">
                  <c:v>17509.62</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1-A201-475D-BFA5-8CA927ADC537}"/>
            </c:ext>
          </c:extLst>
        </c:ser>
        <c:dLbls>
          <c:showLegendKey val="0"/>
          <c:showVal val="0"/>
          <c:showCatName val="0"/>
          <c:showSerName val="0"/>
          <c:showPercent val="0"/>
          <c:showBubbleSize val="0"/>
        </c:dLbls>
        <c:gapWidth val="219"/>
        <c:overlap val="-27"/>
        <c:axId val="353918864"/>
        <c:axId val="353920784"/>
      </c:barChart>
      <c:lineChart>
        <c:grouping val="standard"/>
        <c:varyColors val="0"/>
        <c:ser>
          <c:idx val="2"/>
          <c:order val="2"/>
          <c:tx>
            <c:strRef>
              <c:f>Income!$I$5</c:f>
              <c:strCache>
                <c:ptCount val="1"/>
                <c:pt idx="0">
                  <c:v>Total Income</c:v>
                </c:pt>
              </c:strCache>
            </c:strRef>
          </c:tx>
          <c:spPr>
            <a:ln w="38100" cap="rnd">
              <a:solidFill>
                <a:schemeClr val="bg2">
                  <a:lumMod val="75000"/>
                </a:schemeClr>
              </a:solidFill>
              <a:round/>
              <a:headEnd type="none"/>
              <a:tailEnd type="none"/>
            </a:ln>
            <a:effectLst/>
          </c:spPr>
          <c:marker>
            <c:symbol val="none"/>
          </c:marker>
          <c:cat>
            <c:numRef>
              <c:f>Income!$D$6:$D$19</c:f>
              <c:numCache>
                <c:formatCode>mmm/yyyy</c:formatCode>
                <c:ptCount val="14"/>
                <c:pt idx="0">
                  <c:v>45777</c:v>
                </c:pt>
                <c:pt idx="1">
                  <c:v>45808</c:v>
                </c:pt>
                <c:pt idx="2">
                  <c:v>45838</c:v>
                </c:pt>
                <c:pt idx="3">
                  <c:v>45869</c:v>
                </c:pt>
                <c:pt idx="4">
                  <c:v>45900</c:v>
                </c:pt>
                <c:pt idx="5">
                  <c:v>45930</c:v>
                </c:pt>
                <c:pt idx="6">
                  <c:v>45961</c:v>
                </c:pt>
                <c:pt idx="7">
                  <c:v>45991</c:v>
                </c:pt>
                <c:pt idx="8">
                  <c:v>46022</c:v>
                </c:pt>
                <c:pt idx="9">
                  <c:v>46053</c:v>
                </c:pt>
                <c:pt idx="10">
                  <c:v>46081</c:v>
                </c:pt>
                <c:pt idx="11">
                  <c:v>46112</c:v>
                </c:pt>
                <c:pt idx="12">
                  <c:v>46142</c:v>
                </c:pt>
                <c:pt idx="13">
                  <c:v>46173</c:v>
                </c:pt>
              </c:numCache>
            </c:numRef>
          </c:cat>
          <c:val>
            <c:numRef>
              <c:f>Income!$I$6:$I$19</c:f>
              <c:numCache>
                <c:formatCode>"₹"\ #,##0.00</c:formatCode>
                <c:ptCount val="14"/>
                <c:pt idx="0">
                  <c:v>311804.48</c:v>
                </c:pt>
                <c:pt idx="1">
                  <c:v>229096.78</c:v>
                </c:pt>
                <c:pt idx="2">
                  <c:v>112936</c:v>
                </c:pt>
                <c:pt idx="3">
                  <c:v>112701</c:v>
                </c:pt>
                <c:pt idx="4">
                  <c:v>129908</c:v>
                </c:pt>
                <c:pt idx="5">
                  <c:v>147983.62</c:v>
                </c:pt>
                <c:pt idx="6">
                  <c:v>125379</c:v>
                </c:pt>
                <c:pt idx="7">
                  <c:v>109796</c:v>
                </c:pt>
                <c:pt idx="8">
                  <c:v>114065</c:v>
                </c:pt>
                <c:pt idx="9">
                  <c:v>116002</c:v>
                </c:pt>
                <c:pt idx="10">
                  <c:v>114840</c:v>
                </c:pt>
                <c:pt idx="11">
                  <c:v>0</c:v>
                </c:pt>
                <c:pt idx="12">
                  <c:v>240092</c:v>
                </c:pt>
                <c:pt idx="13">
                  <c:v>0</c:v>
                </c:pt>
              </c:numCache>
            </c:numRef>
          </c:val>
          <c:smooth val="0"/>
          <c:extLst>
            <c:ext xmlns:c16="http://schemas.microsoft.com/office/drawing/2014/chart" uri="{C3380CC4-5D6E-409C-BE32-E72D297353CC}">
              <c16:uniqueId val="{00000002-A201-475D-BFA5-8CA927ADC537}"/>
            </c:ext>
          </c:extLst>
        </c:ser>
        <c:dLbls>
          <c:showLegendKey val="0"/>
          <c:showVal val="0"/>
          <c:showCatName val="0"/>
          <c:showSerName val="0"/>
          <c:showPercent val="0"/>
          <c:showBubbleSize val="0"/>
        </c:dLbls>
        <c:marker val="1"/>
        <c:smooth val="0"/>
        <c:axId val="353918864"/>
        <c:axId val="353920784"/>
      </c:lineChart>
      <c:dateAx>
        <c:axId val="35391886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3920784"/>
        <c:crossesAt val="0"/>
        <c:auto val="1"/>
        <c:lblOffset val="100"/>
        <c:baseTimeUnit val="months"/>
      </c:dateAx>
      <c:valAx>
        <c:axId val="353920784"/>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353918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Expense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bar"/>
        <c:grouping val="clustered"/>
        <c:varyColors val="0"/>
        <c:ser>
          <c:idx val="1"/>
          <c:order val="1"/>
          <c:spPr>
            <a:solidFill>
              <a:srgbClr val="F4A261"/>
            </a:solidFill>
            <a:ln>
              <a:noFill/>
            </a:ln>
            <a:effectLst/>
          </c:spPr>
          <c:invertIfNegative val="0"/>
          <c:dLbls>
            <c:delete val="1"/>
          </c:dLbls>
          <c:cat>
            <c:strRef>
              <c:f>Expense!$D$6:$D$12</c:f>
              <c:strCache>
                <c:ptCount val="7"/>
                <c:pt idx="0">
                  <c:v>UPI Expense</c:v>
                </c:pt>
                <c:pt idx="1">
                  <c:v>EMI</c:v>
                </c:pt>
                <c:pt idx="2">
                  <c:v>Cash</c:v>
                </c:pt>
                <c:pt idx="3">
                  <c:v>Transfer</c:v>
                </c:pt>
                <c:pt idx="4">
                  <c:v>Loan Payment</c:v>
                </c:pt>
                <c:pt idx="5">
                  <c:v>Investment Outflow</c:v>
                </c:pt>
                <c:pt idx="6">
                  <c:v>Other</c:v>
                </c:pt>
              </c:strCache>
            </c:strRef>
          </c:cat>
          <c:val>
            <c:numRef>
              <c:f>Expense!$F$6:$F$12</c:f>
              <c:numCache>
                <c:formatCode>"₹"\ #,##0.00</c:formatCode>
                <c:ptCount val="7"/>
                <c:pt idx="0">
                  <c:v>2603908.58</c:v>
                </c:pt>
                <c:pt idx="1">
                  <c:v>1074150.56</c:v>
                </c:pt>
                <c:pt idx="2">
                  <c:v>409000</c:v>
                </c:pt>
                <c:pt idx="3">
                  <c:v>371006</c:v>
                </c:pt>
                <c:pt idx="4">
                  <c:v>51929</c:v>
                </c:pt>
                <c:pt idx="5">
                  <c:v>35000</c:v>
                </c:pt>
                <c:pt idx="6">
                  <c:v>310448.53000000009</c:v>
                </c:pt>
              </c:numCache>
            </c:numRef>
          </c:val>
          <c:extLst>
            <c:ext xmlns:c16="http://schemas.microsoft.com/office/drawing/2014/chart" uri="{C3380CC4-5D6E-409C-BE32-E72D297353CC}">
              <c16:uniqueId val="{00000001-36BC-4185-8B0C-52B0BBE63845}"/>
            </c:ext>
          </c:extLst>
        </c:ser>
        <c:dLbls>
          <c:showLegendKey val="0"/>
          <c:showVal val="1"/>
          <c:showCatName val="0"/>
          <c:showSerName val="0"/>
          <c:showPercent val="0"/>
          <c:showBubbleSize val="0"/>
        </c:dLbls>
        <c:gapWidth val="182"/>
        <c:axId val="1287523040"/>
        <c:axId val="1287522560"/>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Expense!$D$6:$D$12</c15:sqref>
                        </c15:formulaRef>
                      </c:ext>
                    </c:extLst>
                    <c:strCache>
                      <c:ptCount val="7"/>
                      <c:pt idx="0">
                        <c:v>UPI Expense</c:v>
                      </c:pt>
                      <c:pt idx="1">
                        <c:v>EMI</c:v>
                      </c:pt>
                      <c:pt idx="2">
                        <c:v>Cash</c:v>
                      </c:pt>
                      <c:pt idx="3">
                        <c:v>Transfer</c:v>
                      </c:pt>
                      <c:pt idx="4">
                        <c:v>Loan Payment</c:v>
                      </c:pt>
                      <c:pt idx="5">
                        <c:v>Investment Outflow</c:v>
                      </c:pt>
                      <c:pt idx="6">
                        <c:v>Other</c:v>
                      </c:pt>
                    </c:strCache>
                  </c:strRef>
                </c:cat>
                <c:val>
                  <c:numRef>
                    <c:extLst>
                      <c:ext uri="{02D57815-91ED-43cb-92C2-25804820EDAC}">
                        <c15:formulaRef>
                          <c15:sqref>Expense!$E$6:$E$12</c15:sqref>
                        </c15:formulaRef>
                      </c:ext>
                    </c:extLst>
                    <c:numCache>
                      <c:formatCode>General</c:formatCode>
                      <c:ptCount val="7"/>
                    </c:numCache>
                  </c:numRef>
                </c:val>
                <c:extLst>
                  <c:ext xmlns:c16="http://schemas.microsoft.com/office/drawing/2014/chart" uri="{C3380CC4-5D6E-409C-BE32-E72D297353CC}">
                    <c16:uniqueId val="{00000000-36BC-4185-8B0C-52B0BBE63845}"/>
                  </c:ext>
                </c:extLst>
              </c15:ser>
            </c15:filteredBarSeries>
          </c:ext>
        </c:extLst>
      </c:barChart>
      <c:catAx>
        <c:axId val="128752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87522560"/>
        <c:crosses val="autoZero"/>
        <c:auto val="1"/>
        <c:lblAlgn val="ctr"/>
        <c:lblOffset val="100"/>
        <c:noMultiLvlLbl val="0"/>
      </c:catAx>
      <c:valAx>
        <c:axId val="1287522560"/>
        <c:scaling>
          <c:orientation val="minMax"/>
        </c:scaling>
        <c:delete val="0"/>
        <c:axPos val="b"/>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1" i="0" u="none" strike="noStrike" kern="1200" baseline="0">
                <a:solidFill>
                  <a:schemeClr val="bg1"/>
                </a:solidFill>
                <a:latin typeface="+mn-lt"/>
                <a:ea typeface="+mn-ea"/>
                <a:cs typeface="+mn-cs"/>
              </a:defRPr>
            </a:pPr>
            <a:endParaRPr lang="en-US"/>
          </a:p>
        </c:txPr>
        <c:crossAx val="1287523040"/>
        <c:crosses val="autoZero"/>
        <c:crossBetween val="between"/>
      </c:valAx>
      <c:spPr>
        <a:noFill/>
        <a:ln>
          <a:noFill/>
        </a:ln>
        <a:effectLst/>
      </c:spPr>
    </c:plotArea>
    <c:plotVisOnly val="1"/>
    <c:dispBlanksAs val="gap"/>
    <c:showDLblsOverMax val="0"/>
  </c:chart>
  <c:spPr>
    <a:solidFill>
      <a:srgbClr val="151F30"/>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bg1"/>
                </a:solidFill>
              </a:rPr>
              <a:t>Income vs Expense — Breakeven Analysis (Apr 2025 – Apr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10"/>
            <c:spPr>
              <a:solidFill>
                <a:srgbClr val="4DA3FF"/>
              </a:solidFill>
              <a:ln w="9525">
                <a:noFill/>
              </a:ln>
              <a:effectLst>
                <a:glow rad="63500">
                  <a:schemeClr val="accent5">
                    <a:satMod val="175000"/>
                    <a:alpha val="40000"/>
                  </a:schemeClr>
                </a:glow>
              </a:effectLst>
            </c:spPr>
          </c:marker>
          <c:xVal>
            <c:numRef>
              <c:f>Trends!$F$5:$F$17</c:f>
              <c:numCache>
                <c:formatCode>"₹"\ #,##0.00</c:formatCode>
                <c:ptCount val="13"/>
                <c:pt idx="0">
                  <c:v>188697.15</c:v>
                </c:pt>
                <c:pt idx="1">
                  <c:v>332130.87</c:v>
                </c:pt>
                <c:pt idx="2">
                  <c:v>375161.68</c:v>
                </c:pt>
                <c:pt idx="3">
                  <c:v>173296.15000000002</c:v>
                </c:pt>
                <c:pt idx="4">
                  <c:v>170143.15</c:v>
                </c:pt>
                <c:pt idx="5">
                  <c:v>248674.3</c:v>
                </c:pt>
                <c:pt idx="6">
                  <c:v>66915</c:v>
                </c:pt>
                <c:pt idx="7">
                  <c:v>110808.1</c:v>
                </c:pt>
                <c:pt idx="8">
                  <c:v>275967</c:v>
                </c:pt>
                <c:pt idx="9">
                  <c:v>212556</c:v>
                </c:pt>
                <c:pt idx="10">
                  <c:v>563485.30000000005</c:v>
                </c:pt>
                <c:pt idx="11">
                  <c:v>544664.62</c:v>
                </c:pt>
                <c:pt idx="12">
                  <c:v>683589</c:v>
                </c:pt>
              </c:numCache>
            </c:numRef>
          </c:xVal>
          <c:yVal>
            <c:numRef>
              <c:f>Trends!$E$5:$E$17</c:f>
              <c:numCache>
                <c:formatCode>"₹"\ #,##0.00</c:formatCode>
                <c:ptCount val="13"/>
                <c:pt idx="0">
                  <c:v>236880</c:v>
                </c:pt>
                <c:pt idx="1">
                  <c:v>113225</c:v>
                </c:pt>
                <c:pt idx="2">
                  <c:v>112936</c:v>
                </c:pt>
                <c:pt idx="3">
                  <c:v>112701</c:v>
                </c:pt>
                <c:pt idx="4">
                  <c:v>129908</c:v>
                </c:pt>
                <c:pt idx="5">
                  <c:v>130474</c:v>
                </c:pt>
                <c:pt idx="6">
                  <c:v>125379</c:v>
                </c:pt>
                <c:pt idx="7">
                  <c:v>109796</c:v>
                </c:pt>
                <c:pt idx="8">
                  <c:v>114065</c:v>
                </c:pt>
                <c:pt idx="9">
                  <c:v>116002</c:v>
                </c:pt>
                <c:pt idx="10">
                  <c:v>114840</c:v>
                </c:pt>
                <c:pt idx="11">
                  <c:v>0</c:v>
                </c:pt>
                <c:pt idx="12">
                  <c:v>240092</c:v>
                </c:pt>
              </c:numCache>
            </c:numRef>
          </c:yVal>
          <c:smooth val="0"/>
          <c:extLst>
            <c:ext xmlns:c16="http://schemas.microsoft.com/office/drawing/2014/chart" uri="{C3380CC4-5D6E-409C-BE32-E72D297353CC}">
              <c16:uniqueId val="{00000000-EEB1-436B-BE07-2A6A0FC5A84B}"/>
            </c:ext>
          </c:extLst>
        </c:ser>
        <c:ser>
          <c:idx val="1"/>
          <c:order val="1"/>
          <c:tx>
            <c:v>Reference Line</c:v>
          </c:tx>
          <c:spPr>
            <a:ln w="19050" cap="rnd">
              <a:solidFill>
                <a:schemeClr val="accent2"/>
              </a:solidFill>
              <a:round/>
            </a:ln>
            <a:effectLst/>
          </c:spPr>
          <c:marker>
            <c:symbol val="none"/>
          </c:marker>
          <c:dPt>
            <c:idx val="1"/>
            <c:marker>
              <c:symbol val="none"/>
            </c:marker>
            <c:bubble3D val="0"/>
            <c:spPr>
              <a:ln w="25400" cap="rnd">
                <a:solidFill>
                  <a:schemeClr val="bg1"/>
                </a:solidFill>
                <a:prstDash val="dash"/>
                <a:round/>
              </a:ln>
              <a:effectLst/>
            </c:spPr>
            <c:extLst>
              <c:ext xmlns:c16="http://schemas.microsoft.com/office/drawing/2014/chart" uri="{C3380CC4-5D6E-409C-BE32-E72D297353CC}">
                <c16:uniqueId val="{00000003-EEB1-436B-BE07-2A6A0FC5A84B}"/>
              </c:ext>
            </c:extLst>
          </c:dPt>
          <c:xVal>
            <c:numRef>
              <c:f>Trends!$N$3:$N$4</c:f>
              <c:numCache>
                <c:formatCode>General</c:formatCode>
                <c:ptCount val="2"/>
                <c:pt idx="0">
                  <c:v>0</c:v>
                </c:pt>
                <c:pt idx="1">
                  <c:v>900000</c:v>
                </c:pt>
              </c:numCache>
            </c:numRef>
          </c:xVal>
          <c:yVal>
            <c:numRef>
              <c:f>Trends!$O$3:$O$4</c:f>
              <c:numCache>
                <c:formatCode>General</c:formatCode>
                <c:ptCount val="2"/>
                <c:pt idx="0">
                  <c:v>0</c:v>
                </c:pt>
                <c:pt idx="1">
                  <c:v>130000</c:v>
                </c:pt>
              </c:numCache>
            </c:numRef>
          </c:yVal>
          <c:smooth val="0"/>
          <c:extLst>
            <c:ext xmlns:c16="http://schemas.microsoft.com/office/drawing/2014/chart" uri="{C3380CC4-5D6E-409C-BE32-E72D297353CC}">
              <c16:uniqueId val="{00000002-EEB1-436B-BE07-2A6A0FC5A84B}"/>
            </c:ext>
          </c:extLst>
        </c:ser>
        <c:dLbls>
          <c:showLegendKey val="0"/>
          <c:showVal val="0"/>
          <c:showCatName val="0"/>
          <c:showSerName val="0"/>
          <c:showPercent val="0"/>
          <c:showBubbleSize val="0"/>
        </c:dLbls>
        <c:axId val="44973759"/>
        <c:axId val="44974719"/>
      </c:scatterChart>
      <c:valAx>
        <c:axId val="44973759"/>
        <c:scaling>
          <c:orientation val="minMax"/>
        </c:scaling>
        <c:delete val="0"/>
        <c:axPos val="b"/>
        <c:majorGridlines>
          <c:spPr>
            <a:ln w="12700" cap="flat" cmpd="sng" algn="ctr">
              <a:solidFill>
                <a:srgbClr val="475569">
                  <a:alpha val="50000"/>
                </a:srgbClr>
              </a:solidFill>
              <a:round/>
            </a:ln>
            <a:effectLst/>
          </c:spPr>
        </c:majorGridlines>
        <c:title>
          <c:tx>
            <c:rich>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IN" sz="1050" b="1">
                    <a:solidFill>
                      <a:schemeClr val="bg1"/>
                    </a:solidFill>
                  </a:rPr>
                  <a:t>Expense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44974719"/>
        <c:crosses val="autoZero"/>
        <c:crossBetween val="midCat"/>
      </c:valAx>
      <c:valAx>
        <c:axId val="44974719"/>
        <c:scaling>
          <c:orientation val="minMax"/>
          <c:max val="300000"/>
        </c:scaling>
        <c:delete val="0"/>
        <c:axPos val="l"/>
        <c:majorGridlines>
          <c:spPr>
            <a:ln w="12700" cap="flat" cmpd="sng" algn="ctr">
              <a:solidFill>
                <a:srgbClr val="475569">
                  <a:alpha val="50000"/>
                </a:srgbClr>
              </a:solidFill>
              <a:round/>
            </a:ln>
            <a:effectLst/>
          </c:spPr>
        </c:majorGridlines>
        <c:title>
          <c:tx>
            <c:rich>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IN" sz="1050" b="1">
                    <a:solidFill>
                      <a:schemeClr val="bg1"/>
                    </a:solidFill>
                  </a:rPr>
                  <a:t>Income</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4973759"/>
        <c:crosses val="autoZero"/>
        <c:crossBetween val="midCat"/>
      </c:valAx>
      <c:spPr>
        <a:solidFill>
          <a:srgbClr val="1E29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8.png"/><Relationship Id="rId1" Type="http://schemas.openxmlformats.org/officeDocument/2006/relationships/chart" Target="../charts/chart1.xml"/><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11</xdr:col>
      <xdr:colOff>340225</xdr:colOff>
      <xdr:row>15</xdr:row>
      <xdr:rowOff>209842</xdr:rowOff>
    </xdr:from>
    <xdr:ext cx="184730" cy="937629"/>
    <xdr:sp macro="" textlink="">
      <xdr:nvSpPr>
        <xdr:cNvPr id="23" name="Rectangle 22">
          <a:extLst>
            <a:ext uri="{FF2B5EF4-FFF2-40B4-BE49-F238E27FC236}">
              <a16:creationId xmlns:a16="http://schemas.microsoft.com/office/drawing/2014/main" id="{7B431541-7163-FE42-5520-0D77A9C88B7A}"/>
            </a:ext>
          </a:extLst>
        </xdr:cNvPr>
        <xdr:cNvSpPr/>
      </xdr:nvSpPr>
      <xdr:spPr>
        <a:xfrm>
          <a:off x="7269663" y="5210467"/>
          <a:ext cx="184730" cy="937629"/>
        </a:xfrm>
        <a:prstGeom prst="rect">
          <a:avLst/>
        </a:prstGeom>
        <a:noFill/>
      </xdr:spPr>
      <xdr:txBody>
        <a:bodyPr wrap="none" lIns="91440" tIns="45720" rIns="91440" bIns="45720">
          <a:spAutoFit/>
        </a:bodyPr>
        <a:lstStyle/>
        <a:p>
          <a:pPr algn="ctr"/>
          <a:endParaRPr lang="en-US" sz="5400" b="1" cap="none" spc="50">
            <a:ln w="0"/>
            <a:solidFill>
              <a:schemeClr val="bg2"/>
            </a:solidFill>
            <a:effectLst>
              <a:innerShdw blurRad="63500" dist="50800" dir="13500000">
                <a:srgbClr val="000000">
                  <a:alpha val="50000"/>
                </a:srgbClr>
              </a:innerShdw>
            </a:effectLst>
          </a:endParaRPr>
        </a:p>
      </xdr:txBody>
    </xdr:sp>
    <xdr:clientData/>
  </xdr:oneCellAnchor>
  <xdr:twoCellAnchor>
    <xdr:from>
      <xdr:col>2</xdr:col>
      <xdr:colOff>594781</xdr:colOff>
      <xdr:row>7</xdr:row>
      <xdr:rowOff>98819</xdr:rowOff>
    </xdr:from>
    <xdr:to>
      <xdr:col>13</xdr:col>
      <xdr:colOff>508001</xdr:colOff>
      <xdr:row>15</xdr:row>
      <xdr:rowOff>336176</xdr:rowOff>
    </xdr:to>
    <xdr:graphicFrame macro="">
      <xdr:nvGraphicFramePr>
        <xdr:cNvPr id="24" name="Chart 1">
          <a:extLst>
            <a:ext uri="{FF2B5EF4-FFF2-40B4-BE49-F238E27FC236}">
              <a16:creationId xmlns:a16="http://schemas.microsoft.com/office/drawing/2014/main" id="{B0A9CD0A-8C25-255D-7A1A-A9B99285F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127000</xdr:colOff>
      <xdr:row>7</xdr:row>
      <xdr:rowOff>119529</xdr:rowOff>
    </xdr:from>
    <xdr:to>
      <xdr:col>22</xdr:col>
      <xdr:colOff>230909</xdr:colOff>
      <xdr:row>14</xdr:row>
      <xdr:rowOff>351118</xdr:rowOff>
    </xdr:to>
    <xdr:grpSp>
      <xdr:nvGrpSpPr>
        <xdr:cNvPr id="6" name="Group 5">
          <a:extLst>
            <a:ext uri="{FF2B5EF4-FFF2-40B4-BE49-F238E27FC236}">
              <a16:creationId xmlns:a16="http://schemas.microsoft.com/office/drawing/2014/main" id="{D5C7A23E-046F-7484-9E0E-E58F552DDD34}"/>
            </a:ext>
          </a:extLst>
        </xdr:cNvPr>
        <xdr:cNvGrpSpPr/>
      </xdr:nvGrpSpPr>
      <xdr:grpSpPr>
        <a:xfrm>
          <a:off x="8461375" y="2252732"/>
          <a:ext cx="4866409" cy="2731902"/>
          <a:chOff x="9240989" y="3037538"/>
          <a:chExt cx="4575220" cy="2597704"/>
        </a:xfrm>
      </xdr:grpSpPr>
      <xdr:sp macro="" textlink="">
        <xdr:nvSpPr>
          <xdr:cNvPr id="25" name="Rectangle: Rounded Corners 24">
            <a:extLst>
              <a:ext uri="{FF2B5EF4-FFF2-40B4-BE49-F238E27FC236}">
                <a16:creationId xmlns:a16="http://schemas.microsoft.com/office/drawing/2014/main" id="{F77C6EA5-2B36-6E07-2BD4-722B6EF56544}"/>
              </a:ext>
            </a:extLst>
          </xdr:cNvPr>
          <xdr:cNvSpPr/>
        </xdr:nvSpPr>
        <xdr:spPr>
          <a:xfrm>
            <a:off x="9278407" y="3037538"/>
            <a:ext cx="4334358" cy="2597704"/>
          </a:xfrm>
          <a:prstGeom prst="roundRect">
            <a:avLst/>
          </a:prstGeom>
          <a:gradFill flip="none" rotWithShape="1">
            <a:gsLst>
              <a:gs pos="87000">
                <a:srgbClr val="151F30"/>
              </a:gs>
              <a:gs pos="1000">
                <a:schemeClr val="accent1">
                  <a:lumMod val="60000"/>
                </a:schemeClr>
              </a:gs>
            </a:gsLst>
            <a:lin ang="81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8" name="Group 37">
            <a:extLst>
              <a:ext uri="{FF2B5EF4-FFF2-40B4-BE49-F238E27FC236}">
                <a16:creationId xmlns:a16="http://schemas.microsoft.com/office/drawing/2014/main" id="{A6B9EBD9-7F8A-D743-3FE9-FD95E9064147}"/>
              </a:ext>
            </a:extLst>
          </xdr:cNvPr>
          <xdr:cNvGrpSpPr/>
        </xdr:nvGrpSpPr>
        <xdr:grpSpPr>
          <a:xfrm>
            <a:off x="9240989" y="3113318"/>
            <a:ext cx="4575220" cy="2293198"/>
            <a:chOff x="9492155" y="3263708"/>
            <a:chExt cx="4554483" cy="2243275"/>
          </a:xfrm>
        </xdr:grpSpPr>
        <xdr:sp macro="" textlink="">
          <xdr:nvSpPr>
            <xdr:cNvPr id="26" name="TextBox 25">
              <a:extLst>
                <a:ext uri="{FF2B5EF4-FFF2-40B4-BE49-F238E27FC236}">
                  <a16:creationId xmlns:a16="http://schemas.microsoft.com/office/drawing/2014/main" id="{88C632F0-62F2-01C3-401A-11D0CDF661F0}"/>
                </a:ext>
              </a:extLst>
            </xdr:cNvPr>
            <xdr:cNvSpPr txBox="1"/>
          </xdr:nvSpPr>
          <xdr:spPr>
            <a:xfrm>
              <a:off x="9636727" y="3263708"/>
              <a:ext cx="1959741" cy="426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ln>
                    <a:noFill/>
                  </a:ln>
                  <a:solidFill>
                    <a:schemeClr val="bg1"/>
                  </a:solidFill>
                  <a:effectLst>
                    <a:glow rad="63500">
                      <a:schemeClr val="accent5">
                        <a:satMod val="175000"/>
                        <a:alpha val="40000"/>
                      </a:schemeClr>
                    </a:glow>
                  </a:effectLst>
                </a:rPr>
                <a:t>FinTrack</a:t>
              </a:r>
              <a:r>
                <a:rPr lang="en-IN" sz="1400" b="1">
                  <a:solidFill>
                    <a:schemeClr val="bg1"/>
                  </a:solidFill>
                  <a:effectLst>
                    <a:glow rad="63500">
                      <a:schemeClr val="accent5">
                        <a:satMod val="175000"/>
                        <a:alpha val="40000"/>
                      </a:schemeClr>
                    </a:glow>
                  </a:effectLst>
                </a:rPr>
                <a:t> </a:t>
              </a:r>
              <a:r>
                <a:rPr lang="en-IN" sz="1600" b="1">
                  <a:solidFill>
                    <a:schemeClr val="bg1"/>
                  </a:solidFill>
                  <a:effectLst>
                    <a:glow rad="63500">
                      <a:schemeClr val="accent5">
                        <a:satMod val="175000"/>
                        <a:alpha val="40000"/>
                      </a:schemeClr>
                    </a:glow>
                  </a:effectLst>
                </a:rPr>
                <a:t>Bank</a:t>
              </a:r>
            </a:p>
          </xdr:txBody>
        </xdr:sp>
        <xdr:pic>
          <xdr:nvPicPr>
            <xdr:cNvPr id="31" name="Picture 30">
              <a:extLst>
                <a:ext uri="{FF2B5EF4-FFF2-40B4-BE49-F238E27FC236}">
                  <a16:creationId xmlns:a16="http://schemas.microsoft.com/office/drawing/2014/main" id="{453A38D6-5733-F662-0E3E-8D0F0E6C364A}"/>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artisticCrisscrossEtching/>
                      </a14:imgEffect>
                    </a14:imgLayer>
                  </a14:imgProps>
                </a:ext>
              </a:extLst>
            </a:blip>
            <a:stretch>
              <a:fillRect/>
            </a:stretch>
          </xdr:blipFill>
          <xdr:spPr>
            <a:xfrm>
              <a:off x="10959226" y="4039913"/>
              <a:ext cx="704168" cy="463536"/>
            </a:xfrm>
            <a:prstGeom prst="rect">
              <a:avLst/>
            </a:prstGeom>
            <a:noFill/>
            <a:scene3d>
              <a:camera prst="orthographicFront"/>
              <a:lightRig rig="threePt" dir="t"/>
            </a:scene3d>
            <a:sp3d>
              <a:bevelT prst="slope"/>
              <a:bevelB w="165100" prst="coolSlant"/>
            </a:sp3d>
          </xdr:spPr>
        </xdr:pic>
        <xdr:sp macro="" textlink="">
          <xdr:nvSpPr>
            <xdr:cNvPr id="32" name="TextBox 31">
              <a:extLst>
                <a:ext uri="{FF2B5EF4-FFF2-40B4-BE49-F238E27FC236}">
                  <a16:creationId xmlns:a16="http://schemas.microsoft.com/office/drawing/2014/main" id="{55536DCA-C20D-E806-1A59-718C10C0E29D}"/>
                </a:ext>
              </a:extLst>
            </xdr:cNvPr>
            <xdr:cNvSpPr txBox="1"/>
          </xdr:nvSpPr>
          <xdr:spPr>
            <a:xfrm>
              <a:off x="9492155" y="4861034"/>
              <a:ext cx="4554483" cy="459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solidFill>
                    <a:schemeClr val="bg1"/>
                  </a:solidFill>
                  <a:latin typeface="Arial" panose="020B0604020202020204" pitchFamily="34" charset="0"/>
                  <a:cs typeface="Arial" panose="020B0604020202020204" pitchFamily="34" charset="0"/>
                </a:rPr>
                <a:t>****</a:t>
              </a:r>
              <a:r>
                <a:rPr lang="en-IN" sz="2800" baseline="0">
                  <a:solidFill>
                    <a:schemeClr val="bg1"/>
                  </a:solidFill>
                  <a:latin typeface="Arial" panose="020B0604020202020204" pitchFamily="34" charset="0"/>
                  <a:cs typeface="Arial" panose="020B0604020202020204" pitchFamily="34" charset="0"/>
                </a:rPr>
                <a:t> **** **** ****</a:t>
              </a:r>
              <a:endParaRPr lang="en-IN" sz="2800">
                <a:solidFill>
                  <a:schemeClr val="bg1"/>
                </a:solidFill>
                <a:latin typeface="Arial" panose="020B0604020202020204" pitchFamily="34" charset="0"/>
                <a:cs typeface="Arial" panose="020B0604020202020204" pitchFamily="34" charset="0"/>
              </a:endParaRPr>
            </a:p>
          </xdr:txBody>
        </xdr:sp>
        <xdr:sp macro="" textlink="">
          <xdr:nvSpPr>
            <xdr:cNvPr id="33" name="Moon 32">
              <a:extLst>
                <a:ext uri="{FF2B5EF4-FFF2-40B4-BE49-F238E27FC236}">
                  <a16:creationId xmlns:a16="http://schemas.microsoft.com/office/drawing/2014/main" id="{2853D5E7-BC34-0879-9F13-FB239AF7758B}"/>
                </a:ext>
              </a:extLst>
            </xdr:cNvPr>
            <xdr:cNvSpPr/>
          </xdr:nvSpPr>
          <xdr:spPr>
            <a:xfrm rot="14306870">
              <a:off x="12260633" y="3429849"/>
              <a:ext cx="151826" cy="371094"/>
            </a:xfrm>
            <a:prstGeom prst="moon">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Sun 33">
              <a:extLst>
                <a:ext uri="{FF2B5EF4-FFF2-40B4-BE49-F238E27FC236}">
                  <a16:creationId xmlns:a16="http://schemas.microsoft.com/office/drawing/2014/main" id="{5DFA177E-CC40-985A-0232-D9DA23C4BFBB}"/>
                </a:ext>
              </a:extLst>
            </xdr:cNvPr>
            <xdr:cNvSpPr/>
          </xdr:nvSpPr>
          <xdr:spPr>
            <a:xfrm>
              <a:off x="12568620" y="3424998"/>
              <a:ext cx="353115" cy="297415"/>
            </a:xfrm>
            <a:prstGeom prst="sun">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7" name="TextBox 36">
              <a:extLst>
                <a:ext uri="{FF2B5EF4-FFF2-40B4-BE49-F238E27FC236}">
                  <a16:creationId xmlns:a16="http://schemas.microsoft.com/office/drawing/2014/main" id="{038D7C3C-2529-97D3-0BF8-85BBE0503996}"/>
                </a:ext>
              </a:extLst>
            </xdr:cNvPr>
            <xdr:cNvSpPr txBox="1"/>
          </xdr:nvSpPr>
          <xdr:spPr>
            <a:xfrm>
              <a:off x="12163535" y="5200432"/>
              <a:ext cx="1346638" cy="306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b="1">
                  <a:solidFill>
                    <a:schemeClr val="bg1"/>
                  </a:solidFill>
                </a:rPr>
                <a:t>VALID THRU 05/26</a:t>
              </a:r>
              <a:endParaRPr lang="en-IN" sz="1100" b="1">
                <a:solidFill>
                  <a:schemeClr val="bg1"/>
                </a:solidFill>
              </a:endParaRPr>
            </a:p>
          </xdr:txBody>
        </xdr:sp>
      </xdr:grpSp>
    </xdr:grpSp>
    <xdr:clientData/>
  </xdr:twoCellAnchor>
  <xdr:twoCellAnchor>
    <xdr:from>
      <xdr:col>2</xdr:col>
      <xdr:colOff>595157</xdr:colOff>
      <xdr:row>16</xdr:row>
      <xdr:rowOff>109442</xdr:rowOff>
    </xdr:from>
    <xdr:to>
      <xdr:col>10</xdr:col>
      <xdr:colOff>405693</xdr:colOff>
      <xdr:row>22</xdr:row>
      <xdr:rowOff>313765</xdr:rowOff>
    </xdr:to>
    <xdr:graphicFrame macro="">
      <xdr:nvGraphicFramePr>
        <xdr:cNvPr id="2" name="Chart 1">
          <a:extLst>
            <a:ext uri="{FF2B5EF4-FFF2-40B4-BE49-F238E27FC236}">
              <a16:creationId xmlns:a16="http://schemas.microsoft.com/office/drawing/2014/main" id="{F4E93504-33DD-12F3-47AE-F158B18491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590177</xdr:colOff>
      <xdr:row>2</xdr:row>
      <xdr:rowOff>38485</xdr:rowOff>
    </xdr:from>
    <xdr:to>
      <xdr:col>22</xdr:col>
      <xdr:colOff>98377</xdr:colOff>
      <xdr:row>3</xdr:row>
      <xdr:rowOff>76969</xdr:rowOff>
    </xdr:to>
    <mc:AlternateContent xmlns:mc="http://schemas.openxmlformats.org/markup-compatibility/2006" xmlns:a14="http://schemas.microsoft.com/office/drawing/2010/main">
      <mc:Choice Requires="a14">
        <xdr:graphicFrame macro="">
          <xdr:nvGraphicFramePr>
            <xdr:cNvPr id="4" name="Month(Proper) 1">
              <a:extLst>
                <a:ext uri="{FF2B5EF4-FFF2-40B4-BE49-F238E27FC236}">
                  <a16:creationId xmlns:a16="http://schemas.microsoft.com/office/drawing/2014/main" id="{39E6859A-A4BB-453D-8DE1-B607A350FB0B}"/>
                </a:ext>
              </a:extLst>
            </xdr:cNvPr>
            <xdr:cNvGraphicFramePr/>
          </xdr:nvGraphicFramePr>
          <xdr:xfrm>
            <a:off x="0" y="0"/>
            <a:ext cx="0" cy="0"/>
          </xdr:xfrm>
          <a:graphic>
            <a:graphicData uri="http://schemas.microsoft.com/office/drawing/2010/slicer">
              <sle:slicer xmlns:sle="http://schemas.microsoft.com/office/drawing/2010/slicer" name="Month(Proper) 1"/>
            </a:graphicData>
          </a:graphic>
        </xdr:graphicFrame>
      </mc:Choice>
      <mc:Fallback xmlns="">
        <xdr:sp macro="" textlink="">
          <xdr:nvSpPr>
            <xdr:cNvPr id="0" name=""/>
            <xdr:cNvSpPr>
              <a:spLocks noTextEdit="1"/>
            </xdr:cNvSpPr>
          </xdr:nvSpPr>
          <xdr:spPr>
            <a:xfrm>
              <a:off x="1802450" y="632025"/>
              <a:ext cx="11501649" cy="356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266722</xdr:colOff>
      <xdr:row>16</xdr:row>
      <xdr:rowOff>107647</xdr:rowOff>
    </xdr:from>
    <xdr:to>
      <xdr:col>22</xdr:col>
      <xdr:colOff>67348</xdr:colOff>
      <xdr:row>22</xdr:row>
      <xdr:rowOff>310595</xdr:rowOff>
    </xdr:to>
    <xdr:graphicFrame macro="">
      <xdr:nvGraphicFramePr>
        <xdr:cNvPr id="3" name="Chart 1">
          <a:extLst>
            <a:ext uri="{FF2B5EF4-FFF2-40B4-BE49-F238E27FC236}">
              <a16:creationId xmlns:a16="http://schemas.microsoft.com/office/drawing/2014/main" id="{204068A0-3F99-6951-C169-216BE6DEF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27733</xdr:colOff>
      <xdr:row>2</xdr:row>
      <xdr:rowOff>4618</xdr:rowOff>
    </xdr:from>
    <xdr:to>
      <xdr:col>1</xdr:col>
      <xdr:colOff>560012</xdr:colOff>
      <xdr:row>4</xdr:row>
      <xdr:rowOff>222300</xdr:rowOff>
    </xdr:to>
    <mc:AlternateContent xmlns:mc="http://schemas.openxmlformats.org/markup-compatibility/2006" xmlns:a14="http://schemas.microsoft.com/office/drawing/2010/main">
      <mc:Choice Requires="a14">
        <xdr:graphicFrame macro="">
          <xdr:nvGraphicFramePr>
            <xdr:cNvPr id="5" name="Type (Income/Expense)">
              <a:extLst>
                <a:ext uri="{FF2B5EF4-FFF2-40B4-BE49-F238E27FC236}">
                  <a16:creationId xmlns:a16="http://schemas.microsoft.com/office/drawing/2014/main" id="{90FC0639-0637-44A5-9262-DD37D3163917}"/>
                </a:ext>
              </a:extLst>
            </xdr:cNvPr>
            <xdr:cNvGraphicFramePr/>
          </xdr:nvGraphicFramePr>
          <xdr:xfrm>
            <a:off x="0" y="0"/>
            <a:ext cx="0" cy="0"/>
          </xdr:xfrm>
          <a:graphic>
            <a:graphicData uri="http://schemas.microsoft.com/office/drawing/2010/slicer">
              <sle:slicer xmlns:sle="http://schemas.microsoft.com/office/drawing/2010/slicer" name="Type (Income/Expense)"/>
            </a:graphicData>
          </a:graphic>
        </xdr:graphicFrame>
      </mc:Choice>
      <mc:Fallback xmlns="">
        <xdr:sp macro="" textlink="">
          <xdr:nvSpPr>
            <xdr:cNvPr id="0" name=""/>
            <xdr:cNvSpPr>
              <a:spLocks noTextEdit="1"/>
            </xdr:cNvSpPr>
          </xdr:nvSpPr>
          <xdr:spPr>
            <a:xfrm>
              <a:off x="27733" y="581891"/>
              <a:ext cx="1138415" cy="708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189770</xdr:colOff>
      <xdr:row>18</xdr:row>
      <xdr:rowOff>248161</xdr:rowOff>
    </xdr:from>
    <xdr:to>
      <xdr:col>3</xdr:col>
      <xdr:colOff>430632</xdr:colOff>
      <xdr:row>19</xdr:row>
      <xdr:rowOff>116781</xdr:rowOff>
    </xdr:to>
    <xdr:sp macro="" textlink="">
      <xdr:nvSpPr>
        <xdr:cNvPr id="5" name="Flowchart: Connector 4">
          <a:extLst>
            <a:ext uri="{FF2B5EF4-FFF2-40B4-BE49-F238E27FC236}">
              <a16:creationId xmlns:a16="http://schemas.microsoft.com/office/drawing/2014/main" id="{074BF4D5-C0C3-CD24-1B9C-28DE687CB97A}"/>
            </a:ext>
          </a:extLst>
        </xdr:cNvPr>
        <xdr:cNvSpPr/>
      </xdr:nvSpPr>
      <xdr:spPr>
        <a:xfrm>
          <a:off x="2007184" y="6145632"/>
          <a:ext cx="240862" cy="226264"/>
        </a:xfrm>
        <a:prstGeom prst="flowChartConnector">
          <a:avLst/>
        </a:prstGeom>
        <a:solidFill>
          <a:srgbClr val="5CB8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197069</xdr:colOff>
      <xdr:row>18</xdr:row>
      <xdr:rowOff>248160</xdr:rowOff>
    </xdr:from>
    <xdr:to>
      <xdr:col>6</xdr:col>
      <xdr:colOff>437931</xdr:colOff>
      <xdr:row>19</xdr:row>
      <xdr:rowOff>116780</xdr:rowOff>
    </xdr:to>
    <xdr:sp macro="" textlink="">
      <xdr:nvSpPr>
        <xdr:cNvPr id="6" name="Flowchart: Connector 5">
          <a:extLst>
            <a:ext uri="{FF2B5EF4-FFF2-40B4-BE49-F238E27FC236}">
              <a16:creationId xmlns:a16="http://schemas.microsoft.com/office/drawing/2014/main" id="{D353AC72-9D26-4587-BC25-7C0613050472}"/>
            </a:ext>
          </a:extLst>
        </xdr:cNvPr>
        <xdr:cNvSpPr/>
      </xdr:nvSpPr>
      <xdr:spPr>
        <a:xfrm>
          <a:off x="4415805" y="6145631"/>
          <a:ext cx="240862" cy="226264"/>
        </a:xfrm>
        <a:prstGeom prst="flowChartConnector">
          <a:avLst/>
        </a:prstGeom>
        <a:solidFill>
          <a:srgbClr val="E05A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E05A5A"/>
            </a:solidFill>
          </a:endParaRPr>
        </a:p>
      </xdr:txBody>
    </xdr:sp>
    <xdr:clientData/>
  </xdr:twoCellAnchor>
  <xdr:twoCellAnchor>
    <xdr:from>
      <xdr:col>9</xdr:col>
      <xdr:colOff>226265</xdr:colOff>
      <xdr:row>18</xdr:row>
      <xdr:rowOff>248160</xdr:rowOff>
    </xdr:from>
    <xdr:to>
      <xdr:col>9</xdr:col>
      <xdr:colOff>467127</xdr:colOff>
      <xdr:row>19</xdr:row>
      <xdr:rowOff>116780</xdr:rowOff>
    </xdr:to>
    <xdr:sp macro="" textlink="">
      <xdr:nvSpPr>
        <xdr:cNvPr id="7" name="Flowchart: Connector 6">
          <a:extLst>
            <a:ext uri="{FF2B5EF4-FFF2-40B4-BE49-F238E27FC236}">
              <a16:creationId xmlns:a16="http://schemas.microsoft.com/office/drawing/2014/main" id="{0AF99DB5-4811-4CDE-BB50-382B786988B2}"/>
            </a:ext>
          </a:extLst>
        </xdr:cNvPr>
        <xdr:cNvSpPr/>
      </xdr:nvSpPr>
      <xdr:spPr>
        <a:xfrm>
          <a:off x="6262414" y="6145631"/>
          <a:ext cx="240862" cy="226264"/>
        </a:xfrm>
        <a:prstGeom prst="flowChartConnector">
          <a:avLst/>
        </a:prstGeom>
        <a:solidFill>
          <a:srgbClr val="5CB85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209085</xdr:colOff>
      <xdr:row>18</xdr:row>
      <xdr:rowOff>232317</xdr:rowOff>
    </xdr:from>
    <xdr:to>
      <xdr:col>12</xdr:col>
      <xdr:colOff>449947</xdr:colOff>
      <xdr:row>19</xdr:row>
      <xdr:rowOff>100937</xdr:rowOff>
    </xdr:to>
    <xdr:sp macro="" textlink="">
      <xdr:nvSpPr>
        <xdr:cNvPr id="8" name="Flowchart: Connector 7">
          <a:extLst>
            <a:ext uri="{FF2B5EF4-FFF2-40B4-BE49-F238E27FC236}">
              <a16:creationId xmlns:a16="http://schemas.microsoft.com/office/drawing/2014/main" id="{8ECB6832-2E18-4204-BF4E-FAEFB1504CE7}"/>
            </a:ext>
          </a:extLst>
        </xdr:cNvPr>
        <xdr:cNvSpPr/>
      </xdr:nvSpPr>
      <xdr:spPr>
        <a:xfrm>
          <a:off x="8045914" y="6109939"/>
          <a:ext cx="240862" cy="224839"/>
        </a:xfrm>
        <a:prstGeom prst="flowChartConnector">
          <a:avLst/>
        </a:prstGeom>
        <a:solidFill>
          <a:srgbClr val="F0C0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209086</xdr:colOff>
      <xdr:row>18</xdr:row>
      <xdr:rowOff>255549</xdr:rowOff>
    </xdr:from>
    <xdr:to>
      <xdr:col>15</xdr:col>
      <xdr:colOff>449948</xdr:colOff>
      <xdr:row>19</xdr:row>
      <xdr:rowOff>124169</xdr:rowOff>
    </xdr:to>
    <xdr:sp macro="" textlink="">
      <xdr:nvSpPr>
        <xdr:cNvPr id="9" name="Flowchart: Connector 8">
          <a:extLst>
            <a:ext uri="{FF2B5EF4-FFF2-40B4-BE49-F238E27FC236}">
              <a16:creationId xmlns:a16="http://schemas.microsoft.com/office/drawing/2014/main" id="{C7F05E47-22BD-4D57-AE6C-5BAD03FD481C}"/>
            </a:ext>
          </a:extLst>
        </xdr:cNvPr>
        <xdr:cNvSpPr/>
      </xdr:nvSpPr>
      <xdr:spPr>
        <a:xfrm>
          <a:off x="9857988" y="6133171"/>
          <a:ext cx="240862" cy="224839"/>
        </a:xfrm>
        <a:prstGeom prst="flowChartConnector">
          <a:avLst/>
        </a:prstGeom>
        <a:solidFill>
          <a:srgbClr val="F0C0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286525</xdr:colOff>
      <xdr:row>18</xdr:row>
      <xdr:rowOff>255549</xdr:rowOff>
    </xdr:from>
    <xdr:to>
      <xdr:col>18</xdr:col>
      <xdr:colOff>527387</xdr:colOff>
      <xdr:row>19</xdr:row>
      <xdr:rowOff>124169</xdr:rowOff>
    </xdr:to>
    <xdr:sp macro="" textlink="">
      <xdr:nvSpPr>
        <xdr:cNvPr id="10" name="Flowchart: Connector 9">
          <a:extLst>
            <a:ext uri="{FF2B5EF4-FFF2-40B4-BE49-F238E27FC236}">
              <a16:creationId xmlns:a16="http://schemas.microsoft.com/office/drawing/2014/main" id="{60D9AFBA-FC05-4989-8936-5A7FCCC098B4}"/>
            </a:ext>
          </a:extLst>
        </xdr:cNvPr>
        <xdr:cNvSpPr/>
      </xdr:nvSpPr>
      <xdr:spPr>
        <a:xfrm>
          <a:off x="11747501" y="6133171"/>
          <a:ext cx="240862" cy="224839"/>
        </a:xfrm>
        <a:prstGeom prst="flowChartConnector">
          <a:avLst/>
        </a:prstGeom>
        <a:solidFill>
          <a:srgbClr val="E05A5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305486</xdr:colOff>
      <xdr:row>4</xdr:row>
      <xdr:rowOff>171621</xdr:rowOff>
    </xdr:from>
    <xdr:to>
      <xdr:col>19</xdr:col>
      <xdr:colOff>566350</xdr:colOff>
      <xdr:row>19</xdr:row>
      <xdr:rowOff>37353</xdr:rowOff>
    </xdr:to>
    <xdr:graphicFrame macro="">
      <xdr:nvGraphicFramePr>
        <xdr:cNvPr id="3" name="Chart 2">
          <a:extLst>
            <a:ext uri="{FF2B5EF4-FFF2-40B4-BE49-F238E27FC236}">
              <a16:creationId xmlns:a16="http://schemas.microsoft.com/office/drawing/2014/main" id="{DFAF7B6B-6FD0-C1D9-8ACE-C79A7259C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7559</xdr:colOff>
      <xdr:row>3</xdr:row>
      <xdr:rowOff>340180</xdr:rowOff>
    </xdr:from>
    <xdr:to>
      <xdr:col>19</xdr:col>
      <xdr:colOff>604761</xdr:colOff>
      <xdr:row>13</xdr:row>
      <xdr:rowOff>9621</xdr:rowOff>
    </xdr:to>
    <xdr:graphicFrame macro="">
      <xdr:nvGraphicFramePr>
        <xdr:cNvPr id="8" name="Chart 7">
          <a:extLst>
            <a:ext uri="{FF2B5EF4-FFF2-40B4-BE49-F238E27FC236}">
              <a16:creationId xmlns:a16="http://schemas.microsoft.com/office/drawing/2014/main" id="{9359B84E-E2FD-E456-39B4-B3B613C6B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464717</xdr:colOff>
      <xdr:row>4</xdr:row>
      <xdr:rowOff>75654</xdr:rowOff>
    </xdr:from>
    <xdr:to>
      <xdr:col>20</xdr:col>
      <xdr:colOff>278357</xdr:colOff>
      <xdr:row>17</xdr:row>
      <xdr:rowOff>34796</xdr:rowOff>
    </xdr:to>
    <xdr:graphicFrame macro="">
      <xdr:nvGraphicFramePr>
        <xdr:cNvPr id="2" name="Chart 1">
          <a:extLst>
            <a:ext uri="{FF2B5EF4-FFF2-40B4-BE49-F238E27FC236}">
              <a16:creationId xmlns:a16="http://schemas.microsoft.com/office/drawing/2014/main" id="{82FCA626-DB0E-4E9D-BE0D-6A537CE00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bhavi" refreshedDate="46151.003174305559" createdVersion="8" refreshedVersion="8" minRefreshableVersion="3" recordCount="908" xr:uid="{A9DA3E27-893C-432F-82B9-C7FC150DF574}">
  <cacheSource type="worksheet">
    <worksheetSource name="Account_Data"/>
  </cacheSource>
  <cacheFields count="15">
    <cacheField name="Date" numFmtId="164">
      <sharedItems containsSemiMixedTypes="0" containsNonDate="0" containsDate="1" containsString="0" minDate="2025-04-01T00:00:00" maxDate="2026-05-06T00:00:00"/>
    </cacheField>
    <cacheField name="Details" numFmtId="0">
      <sharedItems/>
    </cacheField>
    <cacheField name="Ref no/ Cheque No" numFmtId="0">
      <sharedItems/>
    </cacheField>
    <cacheField name="Debit" numFmtId="1">
      <sharedItems containsString="0" containsBlank="1" containsNumber="1" minValue="1" maxValue="214825"/>
    </cacheField>
    <cacheField name="Credit" numFmtId="1">
      <sharedItems containsString="0" containsBlank="1" containsNumber="1" minValue="1" maxValue="1500000"/>
    </cacheField>
    <cacheField name="Balance" numFmtId="1">
      <sharedItems containsSemiMixedTypes="0" containsString="0" containsNumber="1" minValue="44.77" maxValue="1635624.71"/>
    </cacheField>
    <cacheField name="Month" numFmtId="0">
      <sharedItems count="14">
        <s v="Apr-2025"/>
        <s v="May-2025"/>
        <s v="Jun-2025"/>
        <s v="Jul-2025"/>
        <s v="Aug-2025"/>
        <s v="Sep-2025"/>
        <s v="Oct-2025"/>
        <s v="Nov-2025"/>
        <s v="Dec-2025"/>
        <s v="Jan-2026"/>
        <s v="Feb-2026"/>
        <s v="Mar-2026"/>
        <s v="Apr-2026"/>
        <s v="May-2026"/>
      </sharedItems>
    </cacheField>
    <cacheField name="Type (Income/Expense)" numFmtId="0">
      <sharedItems count="2">
        <s v="Income"/>
        <s v="Expense"/>
      </sharedItems>
    </cacheField>
    <cacheField name="Category" numFmtId="0">
      <sharedItems count="10">
        <s v="Income"/>
        <s v="EMI"/>
        <s v="Investment (Outflow)"/>
        <s v="UPI Expense"/>
        <s v="Investment Return"/>
        <s v="Loan Payment"/>
        <s v="Other"/>
        <s v="Cash"/>
        <s v="Transfer"/>
        <s v="Loan Taken"/>
      </sharedItems>
    </cacheField>
    <cacheField name="Amount" numFmtId="1">
      <sharedItems containsSemiMixedTypes="0" containsString="0" containsNumber="1" minValue="-214825" maxValue="1500000"/>
    </cacheField>
    <cacheField name="Month(Proper)" numFmtId="165">
      <sharedItems containsSemiMixedTypes="0" containsNonDate="0" containsDate="1" containsString="0" minDate="2025-04-30T00:00:00" maxDate="2026-06-01T00:00:00" count="14">
        <d v="2025-04-30T00:00:00"/>
        <d v="2025-05-31T00:00:00"/>
        <d v="2025-06-30T00:00:00"/>
        <d v="2025-07-31T00:00:00"/>
        <d v="2025-08-31T00:00:00"/>
        <d v="2025-09-30T00:00:00"/>
        <d v="2025-10-31T00:00:00"/>
        <d v="2025-11-30T00:00:00"/>
        <d v="2025-12-31T00:00:00"/>
        <d v="2026-01-31T00:00:00"/>
        <d v="2026-02-28T00:00:00"/>
        <d v="2026-03-31T00:00:00"/>
        <d v="2026-04-30T00:00:00"/>
        <d v="2026-05-31T00:00:00"/>
      </sharedItems>
      <fieldGroup par="14"/>
    </cacheField>
    <cacheField name="Amount(Positive)" numFmtId="0">
      <sharedItems containsSemiMixedTypes="0" containsString="0" containsNumber="1" minValue="1" maxValue="1500000"/>
    </cacheField>
    <cacheField name="Months (Month(Proper))" numFmtId="0" databaseField="0">
      <fieldGroup base="10">
        <rangePr groupBy="months" startDate="2025-04-30T00:00:00" endDate="2026-06-01T00:00:00"/>
        <groupItems count="14">
          <s v="&lt;30-04-2025"/>
          <s v="Jan"/>
          <s v="Feb"/>
          <s v="Mar"/>
          <s v="Apr"/>
          <s v="May"/>
          <s v="Jun"/>
          <s v="Jul"/>
          <s v="Aug"/>
          <s v="Sep"/>
          <s v="Oct"/>
          <s v="Nov"/>
          <s v="Dec"/>
          <s v="&gt;01-06-2026"/>
        </groupItems>
      </fieldGroup>
    </cacheField>
    <cacheField name="Quarters (Month(Proper))" numFmtId="0" databaseField="0">
      <fieldGroup base="10">
        <rangePr groupBy="quarters" startDate="2025-04-30T00:00:00" endDate="2026-06-01T00:00:00"/>
        <groupItems count="6">
          <s v="&lt;30-04-2025"/>
          <s v="Qtr1"/>
          <s v="Qtr2"/>
          <s v="Qtr3"/>
          <s v="Qtr4"/>
          <s v="&gt;01-06-2026"/>
        </groupItems>
      </fieldGroup>
    </cacheField>
    <cacheField name="Years (Month(Proper))" numFmtId="0" databaseField="0">
      <fieldGroup base="10">
        <rangePr groupBy="years" startDate="2025-04-30T00:00:00" endDate="2026-06-01T00:00:00"/>
        <groupItems count="4">
          <s v="&lt;30-04-2025"/>
          <s v="2025"/>
          <s v="2026"/>
          <s v="&gt;01-06-2026"/>
        </groupItems>
      </fieldGroup>
    </cacheField>
  </cacheFields>
  <extLst>
    <ext xmlns:x14="http://schemas.microsoft.com/office/spreadsheetml/2009/9/main" uri="{725AE2AE-9491-48be-B2B4-4EB974FC3084}">
      <x14:pivotCacheDefinition pivotCacheId="1082365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8">
  <r>
    <d v="2025-04-01T00:00:00"/>
    <s v=" CEMTEX DEP   Sa  lary of Mar 2025"/>
    <s v=""/>
    <m/>
    <n v="114008"/>
    <n v="115118.18"/>
    <x v="0"/>
    <x v="0"/>
    <x v="0"/>
    <n v="114008"/>
    <x v="0"/>
    <n v="114008"/>
  </r>
  <r>
    <d v="2025-04-02T00:00:00"/>
    <s v=" DEBIT   ACHDr YESB00709  000028661 TP ACH INDIANE"/>
    <s v=""/>
    <n v="2000"/>
    <m/>
    <n v="113118.18"/>
    <x v="0"/>
    <x v="1"/>
    <x v="1"/>
    <n v="-2000"/>
    <x v="0"/>
    <n v="2000"/>
  </r>
  <r>
    <d v="2025-04-02T00:00:00"/>
    <s v=" DEBIT   ACHDr YESB00709  000028661 TP ACH INDIANE"/>
    <s v=""/>
    <n v="2000"/>
    <m/>
    <n v="111118.18"/>
    <x v="0"/>
    <x v="1"/>
    <x v="1"/>
    <n v="-2000"/>
    <x v="0"/>
    <n v="2000"/>
  </r>
  <r>
    <d v="2025-04-02T00:00:00"/>
    <s v=" DEBIT   ACHDr YESB00709  000028661 TP ACH INDIANE"/>
    <s v=""/>
    <n v="3000"/>
    <m/>
    <n v="108118.18"/>
    <x v="0"/>
    <x v="1"/>
    <x v="1"/>
    <n v="-3000"/>
    <x v="0"/>
    <n v="3000"/>
  </r>
  <r>
    <d v="2025-04-02T00:00:00"/>
    <s v=" DEBIT   ACHDr YESB00709  000028661 TP ACH INDIANE"/>
    <s v=""/>
    <n v="2000"/>
    <m/>
    <n v="106118.18"/>
    <x v="0"/>
    <x v="1"/>
    <x v="1"/>
    <n v="-2000"/>
    <x v="0"/>
    <n v="2000"/>
  </r>
  <r>
    <d v="2025-04-02T00:00:00"/>
    <s v=" DEBIT   ACHDr YESB00709  000028661 TP ACH INDIANE"/>
    <s v=""/>
    <n v="5000"/>
    <m/>
    <n v="101118.18"/>
    <x v="0"/>
    <x v="1"/>
    <x v="1"/>
    <n v="-5000"/>
    <x v="0"/>
    <n v="5000"/>
  </r>
  <r>
    <d v="2025-04-02T00:00:00"/>
    <s v=" DEBIT   ACHDr YESB00709  000028661 TP ACH INDIANE"/>
    <s v=""/>
    <n v="5000"/>
    <m/>
    <n v="96118.18"/>
    <x v="0"/>
    <x v="1"/>
    <x v="1"/>
    <n v="-5000"/>
    <x v="0"/>
    <n v="5000"/>
  </r>
  <r>
    <d v="2025-04-02T00:00:00"/>
    <s v=" DEBIT   ACHDr NACH00  000000056369 ETMONEY"/>
    <s v=""/>
    <n v="1500"/>
    <m/>
    <n v="94618.18"/>
    <x v="0"/>
    <x v="1"/>
    <x v="2"/>
    <n v="-1500"/>
    <x v="0"/>
    <n v="1500"/>
  </r>
  <r>
    <d v="2025-04-02T00:00:00"/>
    <s v=" DEBIT   ACHDr NACH00  000000056369 ETMONEY"/>
    <s v=""/>
    <n v="1000"/>
    <m/>
    <n v="93618.18"/>
    <x v="0"/>
    <x v="1"/>
    <x v="2"/>
    <n v="-1000"/>
    <x v="0"/>
    <n v="1000"/>
  </r>
  <r>
    <d v="2025-04-04T00:00:00"/>
    <s v=" DIRECT DR   0043740438351 OF Mr. ANOOP SING  H VATSA AT 01868 DIESEL LOCO WORKS(VARANASI)"/>
    <s v=""/>
    <n v="6280"/>
    <m/>
    <n v="87338.18"/>
    <x v="0"/>
    <x v="1"/>
    <x v="1"/>
    <n v="-6280"/>
    <x v="0"/>
    <n v="6280"/>
  </r>
  <r>
    <d v="2025-04-04T00:00:00"/>
    <s v=" WDL TFR   UPI/DR/052386208492/SHAMBHAV/KKBK/7355395914/P  aym   0097695162091 AT 01868 DIESEL LOCO WORKS(VARANASI)"/>
    <s v=""/>
    <n v="25000"/>
    <m/>
    <n v="62338.18"/>
    <x v="0"/>
    <x v="1"/>
    <x v="3"/>
    <n v="-25000"/>
    <x v="0"/>
    <n v="25000"/>
  </r>
  <r>
    <d v="2025-04-05T00:00:00"/>
    <s v=" WDL TFR   UPI/DR/509500789843/Ketto On/YESB/paytm-8772/O  idO   0097696162090 AT 01868 DIESEL LOCO WORKS(VARANASI)"/>
    <s v=""/>
    <n v="50"/>
    <m/>
    <n v="62288.18"/>
    <x v="0"/>
    <x v="1"/>
    <x v="3"/>
    <n v="-50"/>
    <x v="0"/>
    <n v="50"/>
  </r>
  <r>
    <d v="2025-04-05T00:00:00"/>
    <s v=" DEBIT   ACHDr NACH00000  000021717 INSTITUTE FEE"/>
    <s v=""/>
    <n v="25394.71"/>
    <m/>
    <n v="36893.47"/>
    <x v="0"/>
    <x v="1"/>
    <x v="1"/>
    <n v="-25394.71"/>
    <x v="0"/>
    <n v="25394.71"/>
  </r>
  <r>
    <d v="2025-04-07T00:00:00"/>
    <s v=" DIRECT DR   0043745420032 OF Mr. ANOOP SING  H VATSA AT 01868 DIESEL LOCO WORKS(VARANASI)"/>
    <s v=""/>
    <n v="8704"/>
    <m/>
    <n v="28189.47"/>
    <x v="0"/>
    <x v="1"/>
    <x v="1"/>
    <n v="-8704"/>
    <x v="0"/>
    <n v="8704"/>
  </r>
  <r>
    <d v="2025-04-07T00:00:00"/>
    <s v=" DEP TFR   NEFT*SCBL0036001*SCBLH09700554721*PGIM INDIA M  UTU   0099509044300 AT 01868 DIESEL LOCO WORKS(VARANASI)"/>
    <s v=""/>
    <m/>
    <n v="44060.27"/>
    <n v="72249.740000000005"/>
    <x v="0"/>
    <x v="0"/>
    <x v="4"/>
    <n v="44060.27"/>
    <x v="0"/>
    <n v="44060.27"/>
  </r>
  <r>
    <d v="2025-04-07T00:00:00"/>
    <s v=" DEP TFR   NEFT*HDFC0000240*HDFCH00167393454*CANARA ROBEC  O M   0099509044300 AT 01868 DIESEL LOCO WORKS(VARANASI)"/>
    <s v=""/>
    <m/>
    <n v="30864.21"/>
    <n v="103113.95"/>
    <x v="0"/>
    <x v="0"/>
    <x v="4"/>
    <n v="30864.21"/>
    <x v="0"/>
    <n v="30864.21"/>
  </r>
  <r>
    <d v="2025-04-08T00:00:00"/>
    <s v=" WDL TFR   SMA OVERDUE RECOVERY   0043740432393 OF Mr.   ANOOP SINGH VATSA AT 01868 DIESEL LOCO WORKS(VARANASI)"/>
    <s v=""/>
    <n v="16329"/>
    <m/>
    <n v="86784.95"/>
    <x v="0"/>
    <x v="1"/>
    <x v="5"/>
    <n v="-16329"/>
    <x v="0"/>
    <n v="16329"/>
  </r>
  <r>
    <d v="2025-04-09T00:00:00"/>
    <s v=" WDL TFR   UPI/DR/683977408151/SOMAN T/YESB/paytmqr68x/Pa  yme   0097693162093 AT 01868 DIESEL LOCO WORKS(VARANASI)"/>
    <s v=""/>
    <n v="450"/>
    <m/>
    <n v="86334.95"/>
    <x v="0"/>
    <x v="1"/>
    <x v="3"/>
    <n v="-450"/>
    <x v="0"/>
    <n v="450"/>
  </r>
  <r>
    <d v="2025-04-10T00:00:00"/>
    <s v=" WDL TFR   UPI/DR/523426143739/Bank Acc/BARB/3086020000/P  aym   0097694162092 AT 01868 DIESEL LOCO WORKS(VARANASI)"/>
    <s v=""/>
    <n v="66500"/>
    <m/>
    <n v="19834.95"/>
    <x v="0"/>
    <x v="1"/>
    <x v="3"/>
    <n v="-66500"/>
    <x v="0"/>
    <n v="66500"/>
  </r>
  <r>
    <d v="2025-04-11T00:00:00"/>
    <s v=" DEP TFR   P042502ABF49C IOCL LPG SUBSIDY IOAP34D     0097685105214 AT 01868 DIESEL LOCO WORKS(VARANASI)"/>
    <s v=""/>
    <m/>
    <n v="59.52"/>
    <n v="19894.47"/>
    <x v="0"/>
    <x v="0"/>
    <x v="6"/>
    <n v="59.52"/>
    <x v="0"/>
    <n v="59.52"/>
  </r>
  <r>
    <d v="2025-04-11T00:00:00"/>
    <s v=" WDL TFR   UPI/DR/972041897351/Pranjal /SBIN/pranjalsin/P  aym   0097695162091 AT 01868 DIESEL LOCO WORKS(VARANASI)"/>
    <s v=""/>
    <n v="1219"/>
    <m/>
    <n v="18675.47"/>
    <x v="0"/>
    <x v="1"/>
    <x v="3"/>
    <n v="-1219"/>
    <x v="0"/>
    <n v="1219"/>
  </r>
  <r>
    <d v="2025-04-11T00:00:00"/>
    <s v=" WDL TFR   UPI/DR/958217014479/SOMAN T/YESB/paytmqr68x/Pa  yme   0097695162091 AT 01868 DIESEL LOCO WORKS(VARANASI)"/>
    <s v=""/>
    <n v="260"/>
    <m/>
    <n v="18415.47"/>
    <x v="0"/>
    <x v="1"/>
    <x v="3"/>
    <n v="-260"/>
    <x v="0"/>
    <n v="260"/>
  </r>
  <r>
    <d v="2025-04-11T00:00:00"/>
    <s v=" WDL TFR   UPI/DR/494754908212/DHIRENDR/SBIN/7752801033/P  aym   0097695162091 AT 01868 DIESEL LOCO WORKS(VARANASI)"/>
    <s v=""/>
    <n v="350"/>
    <m/>
    <n v="18065.47"/>
    <x v="0"/>
    <x v="1"/>
    <x v="3"/>
    <n v="-350"/>
    <x v="0"/>
    <n v="350"/>
  </r>
  <r>
    <d v="2025-04-12T00:00:00"/>
    <s v=" WDL TFR   UPI/DR/103020919334/PANKAJ K/SBIN/pankajmish/  PAY   0097696162090 AT 01868 DIESEL LOCO WORKS(VARANASI)"/>
    <s v=""/>
    <n v="500"/>
    <m/>
    <n v="17565.47"/>
    <x v="0"/>
    <x v="1"/>
    <x v="3"/>
    <n v="-500"/>
    <x v="0"/>
    <n v="500"/>
  </r>
  <r>
    <d v="2025-04-12T00:00:00"/>
    <s v=" WDL TFR   UPI/DR/683055655819/AFJALANS/YESB/Q841036483/P  aym   0097696162090 AT 01868 DIESEL LOCO WORKS(VARANASI)"/>
    <s v=""/>
    <n v="5"/>
    <m/>
    <n v="17560.47"/>
    <x v="0"/>
    <x v="1"/>
    <x v="3"/>
    <n v="-5"/>
    <x v="0"/>
    <n v="5"/>
  </r>
  <r>
    <d v="2025-04-13T00:00:00"/>
    <s v=" WDL TFR   UPI/DR/103083286279/NALIN SI/DBSS/nalinbisen/  PAY   0097690162095 AT 01868 DIESEL LOCO WORKS(VARANASI)"/>
    <s v=""/>
    <n v="424"/>
    <m/>
    <n v="17136.47"/>
    <x v="0"/>
    <x v="1"/>
    <x v="3"/>
    <n v="-424"/>
    <x v="0"/>
    <n v="424"/>
  </r>
  <r>
    <d v="2025-04-13T00:00:00"/>
    <s v=" WDL TFR   UPI/DR/925974981615/KESHAVA /YESB/paytmqr600/P  aym   0097690162095 AT 01868 DIESEL LOCO WORKS(VARANASI)"/>
    <s v=""/>
    <n v="2000"/>
    <m/>
    <n v="15136.47"/>
    <x v="0"/>
    <x v="1"/>
    <x v="3"/>
    <n v="-2000"/>
    <x v="0"/>
    <n v="2000"/>
  </r>
  <r>
    <d v="2025-04-13T00:00:00"/>
    <s v=" WDL TFR   UPI/DR/784114704981/Apex hea/UTIB/gpay-11193/P  aym   0097690162095 AT 01868 DIESEL LOCO WORKS(VARANASI)"/>
    <s v=""/>
    <n v="400"/>
    <m/>
    <n v="14736.47"/>
    <x v="0"/>
    <x v="1"/>
    <x v="3"/>
    <n v="-400"/>
    <x v="0"/>
    <n v="400"/>
  </r>
  <r>
    <d v="2025-04-13T00:00:00"/>
    <s v=" WDL TFR   UPI/DR/822351390554/Apex hea/UTIB/gpay-11193/P  aym   0097690162095 AT 01868 DIESEL LOCO WORKS(VARANASI)"/>
    <s v=""/>
    <n v="252"/>
    <m/>
    <n v="14484.47"/>
    <x v="0"/>
    <x v="1"/>
    <x v="3"/>
    <n v="-252"/>
    <x v="0"/>
    <n v="252"/>
  </r>
  <r>
    <d v="2025-04-14T00:00:00"/>
    <s v=" ATM WDL   ATM CASH 9684  ATM   SADAR             PRATAPGARH"/>
    <s v=""/>
    <n v="7000"/>
    <m/>
    <n v="7484.47"/>
    <x v="0"/>
    <x v="1"/>
    <x v="7"/>
    <n v="-7000"/>
    <x v="0"/>
    <n v="7000"/>
  </r>
  <r>
    <d v="2025-04-14T00:00:00"/>
    <s v=" WDL TFR   UPI/DR/825930220623/PRAKASH /YESB/paytmqr65r/P  aym   0097691162095 AT 01868 DIESEL LOCO WORKS(VARANASI)"/>
    <s v=""/>
    <n v="851"/>
    <m/>
    <n v="6633.47"/>
    <x v="0"/>
    <x v="1"/>
    <x v="3"/>
    <n v="-851"/>
    <x v="0"/>
    <n v="851"/>
  </r>
  <r>
    <d v="2025-04-14T00:00:00"/>
    <s v=" WDL TFR   UPI/DR/580121463126/SHABANA /UBIN/asgark3087/P  aym   0097691162095 AT 01868 DIESEL LOCO WORKS(VARANASI)"/>
    <s v=""/>
    <n v="1000"/>
    <m/>
    <n v="5633.47"/>
    <x v="0"/>
    <x v="1"/>
    <x v="3"/>
    <n v="-1000"/>
    <x v="0"/>
    <n v="1000"/>
  </r>
  <r>
    <d v="2025-04-14T00:00:00"/>
    <s v=" WDL TFR   UPI/DR/324351841190/Hotel Sh/UTIB/9454128603/P  aym   0097691162095 AT 01868 DIESEL LOCO WORKS(VARANASI)"/>
    <s v=""/>
    <n v="330"/>
    <m/>
    <n v="5303.47"/>
    <x v="0"/>
    <x v="1"/>
    <x v="3"/>
    <n v="-330"/>
    <x v="0"/>
    <n v="330"/>
  </r>
  <r>
    <d v="2025-04-14T00:00:00"/>
    <s v=" WDL TFR   UPI/DR/590643695717/MAA PROV/BARB/maapr94512/  UPI   0097691162095 AT 01868 DIESEL LOCO WORKS(VARANASI)"/>
    <s v=""/>
    <n v="320"/>
    <m/>
    <n v="4983.47"/>
    <x v="0"/>
    <x v="1"/>
    <x v="3"/>
    <n v="-320"/>
    <x v="0"/>
    <n v="320"/>
  </r>
  <r>
    <d v="2025-04-15T00:00:00"/>
    <s v=" WDL TFR   UPI/DR/697058002083/MAHESH M/CNRB/1240532200/P  aym   0097692162094 AT 01868 DIESEL LOCO WORKS(VARANASI)"/>
    <s v=""/>
    <n v="1100"/>
    <m/>
    <n v="3883.47"/>
    <x v="0"/>
    <x v="1"/>
    <x v="3"/>
    <n v="-1100"/>
    <x v="0"/>
    <n v="1100"/>
  </r>
  <r>
    <d v="2025-04-16T00:00:00"/>
    <s v=" WDL TFR   UPI/DR/481322575697/dotpe/UTIB/dotpe.payu/Orde  rId   0097693162093 AT 01868 DIESEL LOCO WORKS(VARANASI)"/>
    <s v=""/>
    <n v="480"/>
    <m/>
    <n v="3403.47"/>
    <x v="0"/>
    <x v="1"/>
    <x v="3"/>
    <n v="-480"/>
    <x v="0"/>
    <n v="480"/>
  </r>
  <r>
    <d v="2025-04-17T00:00:00"/>
    <s v=" DEP TFR   UPI/CR/497483251075/dotpe/UTIB/dotpe.payu/payU  Ref   0097736162097 AT 01868 DIESEL LOCO WORKS(VARANASI)"/>
    <s v=""/>
    <m/>
    <n v="480"/>
    <n v="3883.47"/>
    <x v="0"/>
    <x v="0"/>
    <x v="3"/>
    <n v="480"/>
    <x v="0"/>
    <n v="480"/>
  </r>
  <r>
    <d v="2025-04-17T00:00:00"/>
    <s v=" WDL TFR   UPI/DR/198595982572/AMAZON S/HDFC/amazonsell/P  aym   0097694162092 AT 01868 DIESEL LOCO WORKS(VARANASI)"/>
    <s v=""/>
    <n v="857"/>
    <m/>
    <n v="3026.47"/>
    <x v="0"/>
    <x v="1"/>
    <x v="3"/>
    <n v="-857"/>
    <x v="0"/>
    <n v="857"/>
  </r>
  <r>
    <d v="2025-04-17T00:00:00"/>
    <s v=" WDL TFR   UPI/DR/162761228570/Blinkit/YESB/paytm-blin/Bl  ink   0097694162092 AT 01868 DIESEL LOCO WORKS(VARANASI)"/>
    <s v=""/>
    <n v="124"/>
    <m/>
    <n v="2902.47"/>
    <x v="0"/>
    <x v="1"/>
    <x v="3"/>
    <n v="-124"/>
    <x v="0"/>
    <n v="124"/>
  </r>
  <r>
    <d v="2025-04-18T00:00:00"/>
    <s v=" WDL TFR   UPI/DR/100386233470/ZOMATO/HDFC/payzomato@/Col  lec   0097695162091 AT 01868 DIESEL LOCO WORKS(VARANASI)"/>
    <s v=""/>
    <n v="229.44"/>
    <m/>
    <n v="2673.03"/>
    <x v="0"/>
    <x v="1"/>
    <x v="3"/>
    <n v="-229.44"/>
    <x v="0"/>
    <n v="229.44"/>
  </r>
  <r>
    <d v="2025-04-20T00:00:00"/>
    <s v=" WDL TFR   UPI/DR/489891284919/JITENDRA/UBIN/8174980832/P  aym   0097690162095 AT 01868 DIESEL LOCO WORKS(VARANASI)"/>
    <s v=""/>
    <n v="400"/>
    <m/>
    <n v="2273.0300000000002"/>
    <x v="0"/>
    <x v="1"/>
    <x v="3"/>
    <n v="-400"/>
    <x v="0"/>
    <n v="400"/>
  </r>
  <r>
    <d v="2025-04-20T00:00:00"/>
    <s v=" WDL TFR   UPI/DR/476309619619/IRCTC Ra/UTIB/IRCTCRAILW/P  aym   0097690162095 AT 01868 DIESEL LOCO WORKS(VARANASI)"/>
    <s v=""/>
    <n v="450"/>
    <m/>
    <n v="1823.03"/>
    <x v="0"/>
    <x v="1"/>
    <x v="3"/>
    <n v="-450"/>
    <x v="0"/>
    <n v="450"/>
  </r>
  <r>
    <d v="2025-04-20T00:00:00"/>
    <s v=" WDL TFR   UPI/DR/730051214594/IRCTC Ra/UTIB/IRCTCRAILW/P  aym   0097690162095 AT 01868 DIESEL LOCO WORKS(VARANASI)"/>
    <s v=""/>
    <n v="415"/>
    <m/>
    <n v="1408.03"/>
    <x v="0"/>
    <x v="1"/>
    <x v="3"/>
    <n v="-415"/>
    <x v="0"/>
    <n v="415"/>
  </r>
  <r>
    <d v="2025-04-23T00:00:00"/>
    <s v=" WDL TFR   LEGAL FEE   0032251931832 OF Mr. UDAI   PRATAP SINGH AT 01868 DIESEL LOCO WORKS(VARANASI)"/>
    <s v=""/>
    <n v="1000"/>
    <m/>
    <n v="408.03"/>
    <x v="0"/>
    <x v="1"/>
    <x v="8"/>
    <n v="-1000"/>
    <x v="0"/>
    <n v="1000"/>
  </r>
  <r>
    <d v="2025-04-23T00:00:00"/>
    <s v=" WDL TFR   UPI/DR/763369238956/Monalisa/YESB/paytmqr1kn/P  aym   0097693162093 AT 01868 DIESEL LOCO WORKS(VARANASI)"/>
    <s v=""/>
    <n v="280"/>
    <m/>
    <n v="128.03"/>
    <x v="0"/>
    <x v="1"/>
    <x v="3"/>
    <n v="-280"/>
    <x v="0"/>
    <n v="280"/>
  </r>
  <r>
    <d v="2025-04-28T00:00:00"/>
    <s v=" DEP TFR   NEFT*CITI0100000*CITIN25554278556*FRANKLIN TEM  PLE   0099509044300 AT 01868 DIESEL LOCO WORKS(VARANASI)"/>
    <s v=""/>
    <m/>
    <n v="12800"/>
    <n v="12928.03"/>
    <x v="0"/>
    <x v="0"/>
    <x v="6"/>
    <n v="12800"/>
    <x v="0"/>
    <n v="12800"/>
  </r>
  <r>
    <d v="2025-04-28T00:00:00"/>
    <s v=" DEP TFR   NEFT*HDFC0000240*HDFCH00203652569*BAJAJ FLEXI   CAP   0099509044300 AT 01868 DIESEL LOCO WORKS(VARANASI)"/>
    <s v=""/>
    <m/>
    <n v="44000"/>
    <n v="56928.03"/>
    <x v="0"/>
    <x v="0"/>
    <x v="6"/>
    <n v="44000"/>
    <x v="0"/>
    <n v="44000"/>
  </r>
  <r>
    <d v="2025-04-28T00:00:00"/>
    <s v=" DEBIT   CMP MANDATE D  EBIT AXIS Mutual FUND"/>
    <s v=""/>
    <n v="1000"/>
    <m/>
    <n v="55928.03"/>
    <x v="0"/>
    <x v="1"/>
    <x v="6"/>
    <n v="-1000"/>
    <x v="0"/>
    <n v="1000"/>
  </r>
  <r>
    <d v="2025-04-28T00:00:00"/>
    <s v=" CEMTEX DEP   Sa  lary of Apr 2025"/>
    <s v=""/>
    <m/>
    <n v="122872"/>
    <n v="178800.03"/>
    <x v="0"/>
    <x v="0"/>
    <x v="0"/>
    <n v="122872"/>
    <x v="0"/>
    <n v="122872"/>
  </r>
  <r>
    <d v="2025-04-29T00:00:00"/>
    <s v=" WDL TFR   UPI/DR/833247603030/BPCL Ufi/YESB/paytmqr57h/P  aym   0097692162094 AT 01868 DIESEL LOCO WORKS(VARANASI)"/>
    <s v=""/>
    <n v="500"/>
    <m/>
    <n v="178300.03"/>
    <x v="0"/>
    <x v="1"/>
    <x v="3"/>
    <n v="-500"/>
    <x v="0"/>
    <n v="500"/>
  </r>
  <r>
    <d v="2025-04-29T00:00:00"/>
    <s v=" WDL TFR   UPI/DR/868563681195/SEVEN TU/utib/seventurns/  Pay   0097692162094 AT 01868 DIESEL LOCO WORKS(VARANASI)"/>
    <s v=""/>
    <n v="699"/>
    <m/>
    <n v="177601.03"/>
    <x v="0"/>
    <x v="1"/>
    <x v="3"/>
    <n v="-699"/>
    <x v="0"/>
    <n v="699"/>
  </r>
  <r>
    <d v="2025-04-29T00:00:00"/>
    <s v=" WDL TFR   UPI/DR/392693220255/B N S EN/BARB/bnsenglish/V  eri   0097692162094 AT 01868 DIESEL LOCO WORKS(VARANASI)"/>
    <s v=""/>
    <n v="375"/>
    <m/>
    <n v="177226.03"/>
    <x v="0"/>
    <x v="1"/>
    <x v="3"/>
    <n v="-375"/>
    <x v="0"/>
    <n v="375"/>
  </r>
  <r>
    <d v="2025-04-29T00:00:00"/>
    <s v=" WDL TFR   UPI/DR/036709865950/ASHWANI /ICIC/9335599123/P  aym   0097692162094 AT 01868 DIESEL LOCO WORKS(VARANASI)"/>
    <s v=""/>
    <n v="400"/>
    <m/>
    <n v="176826.03"/>
    <x v="0"/>
    <x v="1"/>
    <x v="3"/>
    <n v="-400"/>
    <x v="0"/>
    <n v="400"/>
  </r>
  <r>
    <d v="2025-04-29T00:00:00"/>
    <s v=" WDL TFR   UPI/DR/616390935524/Myntra D/UTIB/MYNTRA@axl/P  aym   0097692162094 AT 01868 DIESEL LOCO WORKS(VARANASI)"/>
    <s v=""/>
    <n v="2569"/>
    <m/>
    <n v="174257.03"/>
    <x v="0"/>
    <x v="1"/>
    <x v="3"/>
    <n v="-2569"/>
    <x v="0"/>
    <n v="2569"/>
  </r>
  <r>
    <d v="2025-04-29T00:00:00"/>
    <s v=" WDL TFR   UPI/DR/511928195583/Amazon I/RATN/amazon@rap/  You   0097692162094 AT 01868 DIESEL LOCO WORKS(VARANASI)"/>
    <s v=""/>
    <n v="849"/>
    <m/>
    <n v="173408.03"/>
    <x v="0"/>
    <x v="1"/>
    <x v="3"/>
    <n v="-849"/>
    <x v="0"/>
    <n v="849"/>
  </r>
  <r>
    <d v="2025-04-29T00:00:00"/>
    <s v=" WDL TFR   UPI/DR/740803713817/Bank Acc/SBIN/3258418352/P  aym   0097692162094 AT 01868 DIESEL LOCO WORKS(VARANASI)"/>
    <s v=""/>
    <n v="12000"/>
    <m/>
    <n v="161408.03"/>
    <x v="0"/>
    <x v="1"/>
    <x v="3"/>
    <n v="-12000"/>
    <x v="0"/>
    <n v="12000"/>
  </r>
  <r>
    <d v="2025-04-29T00:00:00"/>
    <s v=" WDL TFR   TR LOAN AC   0043740432393 OF Mr. ANOOP   SINGH VATSA AT 01868 DIESEL LOCO WORKS(VARANASI)"/>
    <s v=""/>
    <n v="17889"/>
    <m/>
    <n v="143519.03"/>
    <x v="0"/>
    <x v="1"/>
    <x v="5"/>
    <n v="-17889"/>
    <x v="0"/>
    <n v="17889"/>
  </r>
  <r>
    <d v="2025-04-30T00:00:00"/>
    <s v=" WDL TFR   UPI/DR/542699528546/Pradeep /BARB/638650852@/P  aym   0097693162093 AT 01868 DIESEL LOCO WORKS(VARANASI)"/>
    <s v=""/>
    <n v="200"/>
    <m/>
    <n v="143319.03"/>
    <x v="0"/>
    <x v="1"/>
    <x v="3"/>
    <n v="-200"/>
    <x v="0"/>
    <n v="200"/>
  </r>
  <r>
    <d v="2025-05-01T00:00:00"/>
    <s v=" ATM WDL   ATM CASH 8231  DL  W VARANASI          VARANASI"/>
    <s v=""/>
    <n v="20000"/>
    <m/>
    <n v="123319.03"/>
    <x v="1"/>
    <x v="1"/>
    <x v="7"/>
    <n v="-20000"/>
    <x v="1"/>
    <n v="20000"/>
  </r>
  <r>
    <d v="2025-05-01T00:00:00"/>
    <s v=" REVERSE   ATM WDL"/>
    <s v=""/>
    <m/>
    <n v="20000"/>
    <n v="143319.03"/>
    <x v="1"/>
    <x v="0"/>
    <x v="7"/>
    <n v="20000"/>
    <x v="1"/>
    <n v="20000"/>
  </r>
  <r>
    <d v="2025-05-01T00:00:00"/>
    <s v=" ATM WDL   ATM CASH 8235  DL  W VARANASI          VARANASI"/>
    <s v=""/>
    <n v="10000"/>
    <m/>
    <n v="133319.03"/>
    <x v="1"/>
    <x v="1"/>
    <x v="7"/>
    <n v="-10000"/>
    <x v="1"/>
    <n v="10000"/>
  </r>
  <r>
    <d v="2025-05-01T00:00:00"/>
    <s v=" ATM WDL   ATM CASH 8237  DL  W VARANASI          VARANASI"/>
    <s v=""/>
    <n v="20000"/>
    <m/>
    <n v="113319.03"/>
    <x v="1"/>
    <x v="1"/>
    <x v="7"/>
    <n v="-20000"/>
    <x v="1"/>
    <n v="20000"/>
  </r>
  <r>
    <d v="2025-05-01T00:00:00"/>
    <s v=" WDL TFR   UPI/DR/614079957473/INDRESH /UTIB/indresht97/P  aym   0097694162092 AT 01868 DIESEL LOCO WORKS(VARANASI)"/>
    <s v=""/>
    <n v="150"/>
    <m/>
    <n v="113169.03"/>
    <x v="1"/>
    <x v="1"/>
    <x v="3"/>
    <n v="-150"/>
    <x v="1"/>
    <n v="150"/>
  </r>
  <r>
    <d v="2025-05-01T00:00:00"/>
    <s v=" DEBIT   SBI CRE  DIT CARD PAYMENT"/>
    <s v=""/>
    <n v="3991"/>
    <m/>
    <n v="109178.03"/>
    <x v="1"/>
    <x v="1"/>
    <x v="6"/>
    <n v="-3991"/>
    <x v="1"/>
    <n v="3991"/>
  </r>
  <r>
    <d v="2025-05-01T00:00:00"/>
    <s v=" DEBIT   ACHDr NACH00  000000056369 ETMONEY"/>
    <s v=""/>
    <n v="1000"/>
    <m/>
    <n v="108178.03"/>
    <x v="1"/>
    <x v="1"/>
    <x v="2"/>
    <n v="-1000"/>
    <x v="1"/>
    <n v="1000"/>
  </r>
  <r>
    <d v="2025-05-02T00:00:00"/>
    <s v=" DEBIT   ACHDr YESB00709  000028661 TP ACH INDIANE"/>
    <s v=""/>
    <n v="3000"/>
    <m/>
    <n v="105178.03"/>
    <x v="1"/>
    <x v="1"/>
    <x v="1"/>
    <n v="-3000"/>
    <x v="1"/>
    <n v="3000"/>
  </r>
  <r>
    <d v="2025-05-02T00:00:00"/>
    <s v=" DEBIT   ACHDr YESB00709  000028661 TP ACH INDIANE"/>
    <s v=""/>
    <n v="2000"/>
    <m/>
    <n v="103178.03"/>
    <x v="1"/>
    <x v="1"/>
    <x v="1"/>
    <n v="-2000"/>
    <x v="1"/>
    <n v="2000"/>
  </r>
  <r>
    <d v="2025-05-02T00:00:00"/>
    <s v=" DEBIT   ACHDr YESB00709  000028661 TP ACH INDIANE"/>
    <s v=""/>
    <n v="2000"/>
    <m/>
    <n v="101178.03"/>
    <x v="1"/>
    <x v="1"/>
    <x v="1"/>
    <n v="-2000"/>
    <x v="1"/>
    <n v="2000"/>
  </r>
  <r>
    <d v="2025-05-02T00:00:00"/>
    <s v=" DEBIT   ACHDr YESB00709  000028661 TP ACH INDIANE"/>
    <s v=""/>
    <n v="2000"/>
    <m/>
    <n v="99178.03"/>
    <x v="1"/>
    <x v="1"/>
    <x v="1"/>
    <n v="-2000"/>
    <x v="1"/>
    <n v="2000"/>
  </r>
  <r>
    <d v="2025-05-02T00:00:00"/>
    <s v=" DEBIT   ACHDr YESB00709  000028661 TP ACH INDIANE"/>
    <s v=""/>
    <n v="5000"/>
    <m/>
    <n v="94178.03"/>
    <x v="1"/>
    <x v="1"/>
    <x v="1"/>
    <n v="-5000"/>
    <x v="1"/>
    <n v="5000"/>
  </r>
  <r>
    <d v="2025-05-02T00:00:00"/>
    <s v=" DEBIT   ACHDr YESB00709  000028661 TP ACH INDIANE"/>
    <s v=""/>
    <n v="5000"/>
    <m/>
    <n v="89178.03"/>
    <x v="1"/>
    <x v="1"/>
    <x v="1"/>
    <n v="-5000"/>
    <x v="1"/>
    <n v="5000"/>
  </r>
  <r>
    <d v="2025-05-02T00:00:00"/>
    <s v=" DEBIT   ACHDr NACH00  000000056369 ETMONEY"/>
    <s v=""/>
    <n v="1500"/>
    <m/>
    <n v="87678.03"/>
    <x v="1"/>
    <x v="1"/>
    <x v="2"/>
    <n v="-1500"/>
    <x v="1"/>
    <n v="1500"/>
  </r>
  <r>
    <d v="2025-05-02T00:00:00"/>
    <s v=" WDL TFR   UPI/DR/203076712742/Bank Acc/SBIN/3023039470/P  aym   0097695162091 AT 01868 DIESEL LOCO WORKS(VARANASI)"/>
    <s v=""/>
    <n v="6000"/>
    <m/>
    <n v="81678.03"/>
    <x v="1"/>
    <x v="1"/>
    <x v="3"/>
    <n v="-6000"/>
    <x v="1"/>
    <n v="6000"/>
  </r>
  <r>
    <d v="2025-05-02T00:00:00"/>
    <s v=" WDL TFR   UPI/DR/898026866626/SHAMBHAV/KKBK/shambhavis/P  aym   0097695162091 AT 01868 DIESEL LOCO WORKS(VARANASI)"/>
    <s v=""/>
    <n v="25000"/>
    <m/>
    <n v="56678.03"/>
    <x v="1"/>
    <x v="1"/>
    <x v="3"/>
    <n v="-25000"/>
    <x v="1"/>
    <n v="25000"/>
  </r>
  <r>
    <d v="2025-05-02T00:00:00"/>
    <s v=" WDL TFR   UPI/DR/312174397895/Bank Acc/BARB/3086020000/P  aym   0097695162091 AT 01868 DIESEL LOCO WORKS(VARANASI)"/>
    <s v=""/>
    <n v="746"/>
    <m/>
    <n v="55932.03"/>
    <x v="1"/>
    <x v="1"/>
    <x v="3"/>
    <n v="-746"/>
    <x v="1"/>
    <n v="746"/>
  </r>
  <r>
    <d v="2025-05-03T00:00:00"/>
    <s v=" WDL TFR   UPI/DR/968182513127/NEW KOVI/YESB/Q277728463/P  aym   0097696162090 AT 01868 DIESEL LOCO WORKS(VARANASI)"/>
    <s v=""/>
    <n v="262"/>
    <m/>
    <n v="55670.03"/>
    <x v="1"/>
    <x v="1"/>
    <x v="3"/>
    <n v="-262"/>
    <x v="1"/>
    <n v="262"/>
  </r>
  <r>
    <d v="2025-05-04T00:00:00"/>
    <s v=" DIRECT DR   0043740438351 OF Mr. ANOOP SING  H VATSA AT 01868 DIESEL LOCO WORKS(VARANASI)"/>
    <s v=""/>
    <n v="6280"/>
    <m/>
    <n v="49390.03"/>
    <x v="1"/>
    <x v="1"/>
    <x v="1"/>
    <n v="-6280"/>
    <x v="1"/>
    <n v="6280"/>
  </r>
  <r>
    <d v="2025-05-04T00:00:00"/>
    <s v=" WDL TFR   UPI/DR/100490946345/FASHION /HDFC/fashionjew/F  ASH   0097690162095 AT 01868 DIESEL LOCO WORKS(VARANASI)"/>
    <s v=""/>
    <n v="629.1"/>
    <m/>
    <n v="48760.93"/>
    <x v="1"/>
    <x v="1"/>
    <x v="3"/>
    <n v="-629.1"/>
    <x v="1"/>
    <n v="629.1"/>
  </r>
  <r>
    <d v="2025-05-04T00:00:00"/>
    <s v=" WDL TFR   UPI/DR/292754525191/M S DARS/ICIC/ibkPOS.EP1/P  aym   0097690162095 AT 01868 DIESEL LOCO WORKS(VARANASI)"/>
    <s v=""/>
    <n v="2745"/>
    <m/>
    <n v="46015.93"/>
    <x v="1"/>
    <x v="1"/>
    <x v="3"/>
    <n v="-2745"/>
    <x v="1"/>
    <n v="2745"/>
  </r>
  <r>
    <d v="2025-05-04T00:00:00"/>
    <s v=" WDL TFR   UPI/DR/433301174658/AFJALANS/YESB/Q841036483/P  aym   0097690162095 AT 01868 DIESEL LOCO WORKS(VARANASI)"/>
    <s v=""/>
    <n v="10"/>
    <m/>
    <n v="46005.93"/>
    <x v="1"/>
    <x v="1"/>
    <x v="3"/>
    <n v="-10"/>
    <x v="1"/>
    <n v="10"/>
  </r>
  <r>
    <d v="2025-05-05T00:00:00"/>
    <s v=" WDL TFR   UPI/DR/699263713190/Filo Hevis/ICIC/filohevis-  /Pa   0097691162095 AT 01868 DIESEL LOCO WORKS(VARANASI)"/>
    <s v=""/>
    <n v="719.1"/>
    <m/>
    <n v="45286.83"/>
    <x v="1"/>
    <x v="1"/>
    <x v="3"/>
    <n v="-719.1"/>
    <x v="1"/>
    <n v="719.1"/>
  </r>
  <r>
    <d v="2025-05-05T00:00:00"/>
    <s v=" WDL TFR   UPI/DR/512505867012/Ketto On/YESB/paytm-8772/O  idO   0097691162095 AT 01868 DIESEL LOCO WORKS(VARANASI)"/>
    <s v=""/>
    <n v="50"/>
    <m/>
    <n v="45236.83"/>
    <x v="1"/>
    <x v="1"/>
    <x v="3"/>
    <n v="-50"/>
    <x v="1"/>
    <n v="50"/>
  </r>
  <r>
    <d v="2025-05-05T00:00:00"/>
    <s v=" WDL TFR   UPI/DR/891836588419/B N S EN/BARB/bnsenglish/V  eri   0097691162095 AT 01868 DIESEL LOCO WORKS(VARANASI)"/>
    <s v=""/>
    <n v="24350"/>
    <m/>
    <n v="20886.830000000002"/>
    <x v="1"/>
    <x v="1"/>
    <x v="3"/>
    <n v="-24350"/>
    <x v="1"/>
    <n v="24350"/>
  </r>
  <r>
    <d v="2025-05-05T00:00:00"/>
    <s v=" WDL TFR   UPI/DR/401667149269/Comfort /UTIB/gpay-11171/P  aym   0097691162095 AT 01868 DIESEL LOCO WORKS(VARANASI)"/>
    <s v=""/>
    <n v="2135"/>
    <m/>
    <n v="18751.830000000002"/>
    <x v="1"/>
    <x v="1"/>
    <x v="3"/>
    <n v="-2135"/>
    <x v="1"/>
    <n v="2135"/>
  </r>
  <r>
    <d v="2025-05-05T00:00:00"/>
    <s v=" DEP TFR   NEFT*UTIB0000287*AXISP00661183748*LICVARANASI*  BAT   0099509044300 AT 01868 DIESEL LOCO WORKS(VARANASI)"/>
    <s v=""/>
    <m/>
    <n v="3960"/>
    <n v="22711.83"/>
    <x v="1"/>
    <x v="0"/>
    <x v="6"/>
    <n v="3960"/>
    <x v="1"/>
    <n v="3960"/>
  </r>
  <r>
    <d v="2025-05-06T00:00:00"/>
    <s v=" DEP TFR   NEFT*HDFC0000240*HDFCH00221569140*MIRAE ASSET   MF   0099509044300 AT 01868 DIESEL LOCO WORKS(VARANASI)"/>
    <s v=""/>
    <m/>
    <n v="22191.22"/>
    <n v="44903.05"/>
    <x v="1"/>
    <x v="0"/>
    <x v="6"/>
    <n v="22191.22"/>
    <x v="1"/>
    <n v="22191.22"/>
  </r>
  <r>
    <d v="2025-05-06T00:00:00"/>
    <s v=" DEP TFR   NEFT*UTIB0000004*AXISCN0971523681*AXIS MUTUAL   FUN   0099509044300 AT 01868 DIESEL LOCO WORKS(VARANASI)"/>
    <s v=""/>
    <m/>
    <n v="22143.03"/>
    <n v="67046.080000000002"/>
    <x v="1"/>
    <x v="0"/>
    <x v="4"/>
    <n v="22143.03"/>
    <x v="1"/>
    <n v="22143.03"/>
  </r>
  <r>
    <d v="2025-05-07T00:00:00"/>
    <s v=" DIRECT DR   0043745420032 OF Mr. ANOOP SING  H VATSA AT 01868 DIESEL LOCO WORKS(VARANASI)"/>
    <s v=""/>
    <n v="8704"/>
    <m/>
    <n v="58342.080000000002"/>
    <x v="1"/>
    <x v="1"/>
    <x v="1"/>
    <n v="-8704"/>
    <x v="1"/>
    <n v="8704"/>
  </r>
  <r>
    <d v="2025-05-07T00:00:00"/>
    <s v=" WDL TFR   UPI/DR/451463429916/Ms Gauta/YESB/paytm-1468/P  aym   0097693162093 AT 01868 DIESEL LOCO WORKS(VARANASI)"/>
    <s v=""/>
    <n v="2000"/>
    <m/>
    <n v="56342.080000000002"/>
    <x v="1"/>
    <x v="1"/>
    <x v="3"/>
    <n v="-2000"/>
    <x v="1"/>
    <n v="2000"/>
  </r>
  <r>
    <d v="2025-05-07T00:00:00"/>
    <s v=" WDL TFR   UPI/DR/885711771275/BharsoSy/UTIB/bharsosyst/  Pay   0097693162093 AT 01868 DIESEL LOCO WORKS(VARANASI)"/>
    <s v=""/>
    <n v="997"/>
    <m/>
    <n v="55345.08"/>
    <x v="1"/>
    <x v="1"/>
    <x v="3"/>
    <n v="-997"/>
    <x v="1"/>
    <n v="997"/>
  </r>
  <r>
    <d v="2025-05-08T00:00:00"/>
    <s v=" WDL TFR   UPI/DR/183619378259/SUMAN  S/SBIN/9005309797/P  aym   0097694162092 AT 01868 DIESEL LOCO WORKS(VARANASI)"/>
    <s v=""/>
    <n v="5000"/>
    <m/>
    <n v="50345.08"/>
    <x v="1"/>
    <x v="1"/>
    <x v="3"/>
    <n v="-5000"/>
    <x v="1"/>
    <n v="5000"/>
  </r>
  <r>
    <d v="2025-05-09T00:00:00"/>
    <s v=" WDL TFR   UPI/DR/455594380979/SHAMBHAV/KKBK/7355395914/P  aym   0097695162091 AT 01868 DIESEL LOCO WORKS(VARANASI)"/>
    <s v=""/>
    <n v="2300"/>
    <m/>
    <n v="48045.08"/>
    <x v="1"/>
    <x v="1"/>
    <x v="3"/>
    <n v="-2300"/>
    <x v="1"/>
    <n v="2300"/>
  </r>
  <r>
    <d v="2025-05-09T00:00:00"/>
    <s v=" WDL TFR   PMSBY RENEWAL SBISB00211251280006306936     0097389105211 AT 01868 DIESEL LOCO WORKS(VARANASI)"/>
    <s v=""/>
    <n v="20"/>
    <m/>
    <n v="48025.08"/>
    <x v="1"/>
    <x v="1"/>
    <x v="8"/>
    <n v="-20"/>
    <x v="1"/>
    <n v="20"/>
  </r>
  <r>
    <d v="2025-05-09T00:00:00"/>
    <s v=" DEP TFR   P0525019AF943 IOCL LPG SUBSIDY IOAP34D     0097830105219 AT 01868 DIESEL LOCO WORKS(VARANASI)"/>
    <s v=""/>
    <m/>
    <n v="59.52"/>
    <n v="48084.6"/>
    <x v="1"/>
    <x v="0"/>
    <x v="6"/>
    <n v="59.52"/>
    <x v="1"/>
    <n v="59.52"/>
  </r>
  <r>
    <d v="2025-05-09T00:00:00"/>
    <s v=" WDL TFR   UPI/DR/696056497421/DAL BAHA/BARB/dalbhadurs/P  aym   0097695162091 AT 01868 DIESEL LOCO WORKS(VARANASI)"/>
    <s v=""/>
    <n v="550"/>
    <m/>
    <n v="47534.6"/>
    <x v="1"/>
    <x v="1"/>
    <x v="3"/>
    <n v="-550"/>
    <x v="1"/>
    <n v="550"/>
  </r>
  <r>
    <d v="2025-05-09T00:00:00"/>
    <s v=" WDL TFR   UPI/DR/852148805130/Dhruvah /YESB/paytmqr281/P  aym   0097695162091 AT 01868 DIESEL LOCO WORKS(VARANASI)"/>
    <s v=""/>
    <n v="2000"/>
    <m/>
    <n v="45534.6"/>
    <x v="1"/>
    <x v="1"/>
    <x v="3"/>
    <n v="-2000"/>
    <x v="1"/>
    <n v="2000"/>
  </r>
  <r>
    <d v="2025-05-10T00:00:00"/>
    <s v=" ATM WDL   ATM CASH 8053  SAR  AS MOTEL RAEBARELI RAE BARELI"/>
    <s v=""/>
    <n v="10000"/>
    <m/>
    <n v="35534.6"/>
    <x v="1"/>
    <x v="1"/>
    <x v="7"/>
    <n v="-10000"/>
    <x v="1"/>
    <n v="10000"/>
  </r>
  <r>
    <d v="2025-05-10T00:00:00"/>
    <s v=" ATM WDL   ATM CASH 8054  SAR  AS MOTEL RAEBARELI RAE BARELI"/>
    <s v=""/>
    <n v="1000"/>
    <m/>
    <n v="34534.6"/>
    <x v="1"/>
    <x v="1"/>
    <x v="7"/>
    <n v="-1000"/>
    <x v="1"/>
    <n v="1000"/>
  </r>
  <r>
    <d v="2025-05-10T00:00:00"/>
    <s v=" ATM WDL   ATM CASH 2508  SAR  AS MOTEL SECOND ATMRAE BARELI"/>
    <s v=""/>
    <n v="10000"/>
    <m/>
    <n v="24534.6"/>
    <x v="1"/>
    <x v="1"/>
    <x v="7"/>
    <n v="-10000"/>
    <x v="1"/>
    <n v="10000"/>
  </r>
  <r>
    <d v="2025-05-11T00:00:00"/>
    <s v=" WDL TFR   UPI/DR/344065228465/HP Auto /YESB/paytmqrmnh/P  aym   0097690162095 AT 01868 DIESEL LOCO WORKS(VARANASI)"/>
    <s v=""/>
    <n v="1500"/>
    <m/>
    <n v="23034.6"/>
    <x v="1"/>
    <x v="1"/>
    <x v="3"/>
    <n v="-1500"/>
    <x v="1"/>
    <n v="1500"/>
  </r>
  <r>
    <d v="2025-05-12T00:00:00"/>
    <s v=" WDL TFR   UPI/DR/204740376729/IRCTC Ra/UTIB/IRCTCRAILW/P  aym   0097691162095 AT 01868 DIESEL LOCO WORKS(VARANASI)"/>
    <s v=""/>
    <n v="505"/>
    <m/>
    <n v="22529.599999999999"/>
    <x v="1"/>
    <x v="1"/>
    <x v="3"/>
    <n v="-505"/>
    <x v="1"/>
    <n v="505"/>
  </r>
  <r>
    <d v="2025-05-13T00:00:00"/>
    <s v=" ECS/ACH RET CH   PHYSICSW NACH FA  IL INSUF BAL SBIN7023103252093967"/>
    <s v=""/>
    <n v="295"/>
    <m/>
    <n v="22234.6"/>
    <x v="1"/>
    <x v="1"/>
    <x v="1"/>
    <n v="-295"/>
    <x v="1"/>
    <n v="295"/>
  </r>
  <r>
    <d v="2025-05-14T00:00:00"/>
    <s v=" WDL TFR   UPI/DR/966677086545/NALIN SI/DBSS/nalinbisen/P  aym   0097693162093 AT 01868 DIESEL LOCO WORKS(VARANASI)"/>
    <s v=""/>
    <n v="424"/>
    <m/>
    <n v="21810.6"/>
    <x v="1"/>
    <x v="1"/>
    <x v="3"/>
    <n v="-424"/>
    <x v="1"/>
    <n v="424"/>
  </r>
  <r>
    <d v="2025-05-15T00:00:00"/>
    <s v=" ATM WDL   ATM CASH 5854  DL  W VARANASI          VARANASI"/>
    <s v=""/>
    <n v="5000"/>
    <m/>
    <n v="16810.599999999999"/>
    <x v="1"/>
    <x v="1"/>
    <x v="7"/>
    <n v="-5000"/>
    <x v="1"/>
    <n v="5000"/>
  </r>
  <r>
    <d v="2025-05-15T00:00:00"/>
    <s v=" WDL TFR   UPI/DR/291288556388/AFJALANS/YESB/Q841036483/P  aym   0097694162092 AT 01868 DIESEL LOCO WORKS(VARANASI)"/>
    <s v=""/>
    <n v="10"/>
    <m/>
    <n v="16800.599999999999"/>
    <x v="1"/>
    <x v="1"/>
    <x v="3"/>
    <n v="-10"/>
    <x v="1"/>
    <n v="10"/>
  </r>
  <r>
    <d v="2025-05-16T00:00:00"/>
    <s v=" CSH DEP (CDM)     9005309797"/>
    <s v=""/>
    <m/>
    <n v="10000"/>
    <n v="26800.6"/>
    <x v="1"/>
    <x v="0"/>
    <x v="6"/>
    <n v="10000"/>
    <x v="1"/>
    <n v="10000"/>
  </r>
  <r>
    <d v="2025-05-16T00:00:00"/>
    <s v=" CDM CH  ARGE DR"/>
    <s v=""/>
    <n v="47.2"/>
    <m/>
    <n v="26753.4"/>
    <x v="1"/>
    <x v="1"/>
    <x v="6"/>
    <n v="-47.2"/>
    <x v="1"/>
    <n v="47.2"/>
  </r>
  <r>
    <d v="2025-05-16T00:00:00"/>
    <s v=" DEP TFR   UPI/CR/071344409311/SUMAN  S/SBIN/9005309797/P  aym   0097737162096 AT 01868 DIESEL LOCO WORKS(VARANASI)"/>
    <s v=""/>
    <m/>
    <n v="1200"/>
    <n v="27953.4"/>
    <x v="1"/>
    <x v="0"/>
    <x v="3"/>
    <n v="1200"/>
    <x v="1"/>
    <n v="1200"/>
  </r>
  <r>
    <d v="2025-05-17T00:00:00"/>
    <s v=" DEP TFR   UPI/CR/838217414966/SUMAN  S/SBIN/9005309797/P  aym   0097738162095 AT 01868 DIESEL LOCO WORKS(VARANASI)"/>
    <s v=""/>
    <m/>
    <n v="200"/>
    <n v="28153.4"/>
    <x v="1"/>
    <x v="0"/>
    <x v="3"/>
    <n v="200"/>
    <x v="1"/>
    <n v="200"/>
  </r>
  <r>
    <d v="2025-05-20T00:00:00"/>
    <s v=" DEP TFR   NEFT*HDFC0000240*HDFCH00250477612*MIRAE ASSET   MF   0099509044300 AT 01868 DIESEL LOCO WORKS(VARANASI)"/>
    <s v=""/>
    <m/>
    <n v="4947.6499999999996"/>
    <n v="33101.050000000003"/>
    <x v="1"/>
    <x v="0"/>
    <x v="6"/>
    <n v="4947.6499999999996"/>
    <x v="1"/>
    <n v="4947.6499999999996"/>
  </r>
  <r>
    <d v="2025-05-20T00:00:00"/>
    <s v=" DEP TFR   NEFT*HDFC0000240*HDFCH00250492644*HDFC MUTUAL   FUN   0099509044300 AT 01868 DIESEL LOCO WORKS(VARANASI)"/>
    <s v=""/>
    <m/>
    <n v="90774.84"/>
    <n v="123875.89"/>
    <x v="1"/>
    <x v="0"/>
    <x v="4"/>
    <n v="90774.84"/>
    <x v="1"/>
    <n v="90774.84"/>
  </r>
  <r>
    <d v="2025-05-20T00:00:00"/>
    <s v=" DEP TFR   NEFT*UTIB0000004*AXISCN0978690731*AXIS MUTUAL   FUN   0099509044300 AT 01868 DIESEL LOCO WORKS(VARANASI)"/>
    <s v=""/>
    <m/>
    <n v="2953.91"/>
    <n v="126829.8"/>
    <x v="1"/>
    <x v="0"/>
    <x v="4"/>
    <n v="2953.91"/>
    <x v="1"/>
    <n v="2953.91"/>
  </r>
  <r>
    <d v="2025-05-21T00:00:00"/>
    <s v=" WDL TFR   UPI/DR/461217864399/SOMAN  T/SBIN/9651679032/P  aym   0097693162093 AT 01868 DIESEL LOCO WORKS(VARANASI)"/>
    <s v=""/>
    <n v="300"/>
    <m/>
    <n v="126529.8"/>
    <x v="1"/>
    <x v="1"/>
    <x v="3"/>
    <n v="-300"/>
    <x v="1"/>
    <n v="300"/>
  </r>
  <r>
    <d v="2025-05-21T00:00:00"/>
    <s v=" WDL TFR   UPI/DR/709354268653/PhonePe/UTIB/bbpsbp@axl/Pa  yme   0097693162093 AT 01868 DIESEL LOCO WORKS(VARANASI)"/>
    <s v=""/>
    <n v="8422.52"/>
    <m/>
    <n v="118107.28"/>
    <x v="1"/>
    <x v="1"/>
    <x v="3"/>
    <n v="-8422.52"/>
    <x v="1"/>
    <n v="8422.52"/>
  </r>
  <r>
    <d v="2025-05-22T00:00:00"/>
    <s v=" WDL TFR   UPI/DR/750444110709/SUMAN  S/SBIN/9005309797/P  aym   0097694162092 AT 01868 DIESEL LOCO WORKS(VARANASI)"/>
    <s v=""/>
    <n v="1100"/>
    <m/>
    <n v="117007.28"/>
    <x v="1"/>
    <x v="1"/>
    <x v="3"/>
    <n v="-1100"/>
    <x v="1"/>
    <n v="1100"/>
  </r>
  <r>
    <d v="2025-05-22T00:00:00"/>
    <s v=" WDL TFR   UPI/DR/521463111726/SUMAN  S/SBIN/9005309797/P  aym   0097694162092 AT 01868 DIESEL LOCO WORKS(VARANASI)"/>
    <s v=""/>
    <n v="1000"/>
    <m/>
    <n v="116007.28"/>
    <x v="1"/>
    <x v="1"/>
    <x v="3"/>
    <n v="-1000"/>
    <x v="1"/>
    <n v="1000"/>
  </r>
  <r>
    <d v="2025-05-22T00:00:00"/>
    <s v=" WDL TFR   UPI/DR/311043881028/Bank Acc/PUNB/1972219100/P  aym   0097694162092 AT 01868 DIESEL LOCO WORKS(VARANASI)"/>
    <s v=""/>
    <n v="1000"/>
    <m/>
    <n v="115007.28"/>
    <x v="1"/>
    <x v="1"/>
    <x v="3"/>
    <n v="-1000"/>
    <x v="1"/>
    <n v="1000"/>
  </r>
  <r>
    <d v="2025-05-22T00:00:00"/>
    <s v=" WDL TFR   UPI/DR/815617478347/Bank Acc/PUNB/1972219100/P  aym   0097694162092 AT 01868 DIESEL LOCO WORKS(VARANASI)"/>
    <s v=""/>
    <n v="1000"/>
    <m/>
    <n v="114007.28"/>
    <x v="1"/>
    <x v="1"/>
    <x v="3"/>
    <n v="-1000"/>
    <x v="1"/>
    <n v="1000"/>
  </r>
  <r>
    <d v="2025-05-23T00:00:00"/>
    <s v=" WDL TFR   IRR   0043740432393 OF Mr. ANOOP SI  NGH VATSA AT 01868 DIESEL LOCO WORKS(VARANASI)"/>
    <s v=""/>
    <n v="17061"/>
    <m/>
    <n v="96946.28"/>
    <x v="1"/>
    <x v="1"/>
    <x v="8"/>
    <n v="-17061"/>
    <x v="1"/>
    <n v="17061"/>
  </r>
  <r>
    <d v="2025-05-24T00:00:00"/>
    <s v=" WDL TFR   UPI/DR/018263373208/PhonePe/YESB/bbpsbp@ybl/Pa  yme   0097696162090 AT 01868 DIESEL LOCO WORKS(VARANASI)"/>
    <s v=""/>
    <n v="30000"/>
    <m/>
    <n v="66946.28"/>
    <x v="1"/>
    <x v="1"/>
    <x v="3"/>
    <n v="-30000"/>
    <x v="1"/>
    <n v="30000"/>
  </r>
  <r>
    <d v="2025-05-24T00:00:00"/>
    <s v=" WDL TFR   UPI/DR/045579867382/PhonePe/YESB/bbpsbp@ybl/Pa  yme   0097696162090 AT 01868 DIESEL LOCO WORKS(VARANASI)"/>
    <s v=""/>
    <n v="25000"/>
    <m/>
    <n v="41946.28"/>
    <x v="1"/>
    <x v="1"/>
    <x v="3"/>
    <n v="-25000"/>
    <x v="1"/>
    <n v="25000"/>
  </r>
  <r>
    <d v="2025-05-25T00:00:00"/>
    <s v=" WDL TFR   UPI/DR/612784194547/GUFRAN A/YESB/paytmqr6d7/P  aym   0097690162095 AT 01868 DIESEL LOCO WORKS(VARANASI)"/>
    <s v=""/>
    <n v="70"/>
    <m/>
    <n v="41876.28"/>
    <x v="1"/>
    <x v="1"/>
    <x v="3"/>
    <n v="-70"/>
    <x v="1"/>
    <n v="70"/>
  </r>
  <r>
    <d v="2025-05-26T00:00:00"/>
    <s v=" WDL TFR   UPI/DR/100624078508/PHYSICSW/HDFC/physicswal/  Upi   0097691162095 AT 01868 DIESEL LOCO WORKS(VARANASI)"/>
    <s v=""/>
    <n v="26990.15"/>
    <m/>
    <n v="14886.13"/>
    <x v="1"/>
    <x v="1"/>
    <x v="3"/>
    <n v="-26990.15"/>
    <x v="1"/>
    <n v="26990.15"/>
  </r>
  <r>
    <d v="2025-05-27T00:00:00"/>
    <s v=" CEMTEX DEP   Sa  lary of May 2025"/>
    <s v=""/>
    <m/>
    <n v="113225"/>
    <n v="128111.13"/>
    <x v="1"/>
    <x v="0"/>
    <x v="0"/>
    <n v="113225"/>
    <x v="1"/>
    <n v="113225"/>
  </r>
  <r>
    <d v="2025-05-27T00:00:00"/>
    <s v=" WDL TFR   UPI/DR/094026174382/AFJALANS/YESB/Q841036483/P  aym   0097692162094 AT 01868 DIESEL LOCO WORKS(VARANASI)"/>
    <s v=""/>
    <n v="10"/>
    <m/>
    <n v="128101.13"/>
    <x v="1"/>
    <x v="1"/>
    <x v="3"/>
    <n v="-10"/>
    <x v="1"/>
    <n v="10"/>
  </r>
  <r>
    <d v="2025-05-28T00:00:00"/>
    <s v=" DEBIT   CMP MANDATE D  EBIT AXIS Mutual FUND"/>
    <s v=""/>
    <n v="1000"/>
    <m/>
    <n v="127101.13"/>
    <x v="1"/>
    <x v="1"/>
    <x v="6"/>
    <n v="-1000"/>
    <x v="1"/>
    <n v="1000"/>
  </r>
  <r>
    <d v="2025-05-28T00:00:00"/>
    <s v=" WDL TFR   UPI/DR/399564366886/Vaishno /YESB/paytm.s17a/P  aym   0097693162093 AT 01868 DIESEL LOCO WORKS(VARANASI)"/>
    <s v=""/>
    <n v="1500"/>
    <m/>
    <n v="125601.13"/>
    <x v="1"/>
    <x v="1"/>
    <x v="3"/>
    <n v="-1500"/>
    <x v="1"/>
    <n v="1500"/>
  </r>
  <r>
    <d v="2025-05-28T00:00:00"/>
    <s v=" WDL TFR   UPI/DR/882443662318/SPECIAL /HDFC/specialfun/P  aym   0097693162093 AT 01868 DIESEL LOCO WORKS(VARANASI)"/>
    <s v=""/>
    <n v="3450"/>
    <m/>
    <n v="122151.13"/>
    <x v="1"/>
    <x v="1"/>
    <x v="3"/>
    <n v="-3450"/>
    <x v="1"/>
    <n v="3450"/>
  </r>
  <r>
    <d v="2025-05-28T00:00:00"/>
    <s v=" WDL TFR   UPI/DR/519730069634/AJIT KUM/ICIC/ajitkumar3/P  aym   0097693162093 AT 01868 DIESEL LOCO WORKS(VARANASI)"/>
    <s v=""/>
    <n v="4000"/>
    <m/>
    <n v="118151.13"/>
    <x v="1"/>
    <x v="1"/>
    <x v="3"/>
    <n v="-4000"/>
    <x v="1"/>
    <n v="4000"/>
  </r>
  <r>
    <d v="2025-05-31T00:00:00"/>
    <s v=" WDL TFR   UPI/DR/523167371387/SUMAN  S/SBIN/9005309797/P  aym   0097696162090 AT 01868 DIESEL LOCO WORKS(VARANASI)"/>
    <s v=""/>
    <n v="17727"/>
    <m/>
    <n v="100424.13"/>
    <x v="1"/>
    <x v="1"/>
    <x v="3"/>
    <n v="-17727"/>
    <x v="1"/>
    <n v="17727"/>
  </r>
  <r>
    <d v="2025-05-31T00:00:00"/>
    <s v=" WDL TFR   UPI/DR/745103627790/Monalisa/YESB/paytmqr1kn/P  aym   0097696162090 AT 01868 DIESEL LOCO WORKS(VARANASI)"/>
    <s v=""/>
    <n v="800"/>
    <m/>
    <n v="99624.13"/>
    <x v="1"/>
    <x v="1"/>
    <x v="3"/>
    <n v="-800"/>
    <x v="1"/>
    <n v="800"/>
  </r>
  <r>
    <d v="2025-06-01T00:00:00"/>
    <s v=" WDL TFR   UPI/DR/064370311352/SHAMBHAV/KKBK/7355395914/P  aym   0097690162095 AT 01868 DIESEL LOCO WORKS(VARANASI)"/>
    <s v=""/>
    <n v="20000"/>
    <m/>
    <n v="79624.13"/>
    <x v="2"/>
    <x v="1"/>
    <x v="3"/>
    <n v="-20000"/>
    <x v="2"/>
    <n v="20000"/>
  </r>
  <r>
    <d v="2025-06-01T00:00:00"/>
    <s v=" DIRECT DR   INT TRF FRM 10852263841 TO 43740432393   00437404323  93 OF Mr. ANOOP SINGH VATSA AT 01868 DIESEL LOCO WORKS(VARANASI)"/>
    <s v=""/>
    <n v="17318"/>
    <m/>
    <n v="62306.13"/>
    <x v="2"/>
    <x v="1"/>
    <x v="1"/>
    <n v="-17318"/>
    <x v="2"/>
    <n v="17318"/>
  </r>
  <r>
    <d v="2025-06-01T00:00:00"/>
    <s v=" DEBIT   ACHDr NACH00  000000056369 ETMONEY"/>
    <s v=""/>
    <n v="1000"/>
    <m/>
    <n v="61306.13"/>
    <x v="2"/>
    <x v="1"/>
    <x v="2"/>
    <n v="-1000"/>
    <x v="2"/>
    <n v="1000"/>
  </r>
  <r>
    <d v="2025-06-01T00:00:00"/>
    <s v=" WDL TFR   UPI/DR/546939565357/Chotu Ku/SBIN/8084888818/P  aym   0097690162095 AT 01868 DIESEL LOCO WORKS(VARANASI)"/>
    <s v=""/>
    <n v="1060"/>
    <m/>
    <n v="60246.13"/>
    <x v="2"/>
    <x v="1"/>
    <x v="3"/>
    <n v="-1060"/>
    <x v="2"/>
    <n v="1060"/>
  </r>
  <r>
    <d v="2025-06-02T00:00:00"/>
    <s v=" DEBIT   ACHDr YESB00709  000028661 TP ACH INDIANE"/>
    <s v=""/>
    <n v="2000"/>
    <m/>
    <n v="58246.13"/>
    <x v="2"/>
    <x v="1"/>
    <x v="1"/>
    <n v="-2000"/>
    <x v="2"/>
    <n v="2000"/>
  </r>
  <r>
    <d v="2025-06-02T00:00:00"/>
    <s v=" DEBIT   ACHDr YESB00709  000028661 TP ACH INDIANE"/>
    <s v=""/>
    <n v="5000"/>
    <m/>
    <n v="53246.13"/>
    <x v="2"/>
    <x v="1"/>
    <x v="1"/>
    <n v="-5000"/>
    <x v="2"/>
    <n v="5000"/>
  </r>
  <r>
    <d v="2025-06-02T00:00:00"/>
    <s v=" DEBIT   ACHDr YESB00709  000028661 TP ACH INDIANE"/>
    <s v=""/>
    <n v="2000"/>
    <m/>
    <n v="51246.13"/>
    <x v="2"/>
    <x v="1"/>
    <x v="1"/>
    <n v="-2000"/>
    <x v="2"/>
    <n v="2000"/>
  </r>
  <r>
    <d v="2025-06-02T00:00:00"/>
    <s v=" DEBIT   ACHDr YESB00709  000028661 TP ACH INDIANE"/>
    <s v=""/>
    <n v="5000"/>
    <m/>
    <n v="46246.13"/>
    <x v="2"/>
    <x v="1"/>
    <x v="1"/>
    <n v="-5000"/>
    <x v="2"/>
    <n v="5000"/>
  </r>
  <r>
    <d v="2025-06-02T00:00:00"/>
    <s v=" DEBIT   ACHDr YESB00709  000028661 TP ACH INDIANE"/>
    <s v=""/>
    <n v="3000"/>
    <m/>
    <n v="43246.13"/>
    <x v="2"/>
    <x v="1"/>
    <x v="1"/>
    <n v="-3000"/>
    <x v="2"/>
    <n v="3000"/>
  </r>
  <r>
    <d v="2025-06-02T00:00:00"/>
    <s v=" DEBIT   ACHDr YESB00709  000028661 TP ACH INDIANE"/>
    <s v=""/>
    <n v="2000"/>
    <m/>
    <n v="41246.129999999997"/>
    <x v="2"/>
    <x v="1"/>
    <x v="1"/>
    <n v="-2000"/>
    <x v="2"/>
    <n v="2000"/>
  </r>
  <r>
    <d v="2025-06-02T00:00:00"/>
    <s v=" WDL TFR   UPI/DR/804259790100/Bank Acc/SBIN/1085229680/P  aym   0097691162095 AT 01868 DIESEL LOCO WORKS(VARANASI)"/>
    <s v=""/>
    <n v="10000"/>
    <m/>
    <n v="31246.13"/>
    <x v="2"/>
    <x v="1"/>
    <x v="3"/>
    <n v="-10000"/>
    <x v="2"/>
    <n v="10000"/>
  </r>
  <r>
    <d v="2025-06-02T00:00:00"/>
    <s v=" DEBIT   ACHDr NACH00  000000056369 ETMONEY"/>
    <s v=""/>
    <n v="1500"/>
    <m/>
    <n v="29746.13"/>
    <x v="2"/>
    <x v="1"/>
    <x v="2"/>
    <n v="-1500"/>
    <x v="2"/>
    <n v="1500"/>
  </r>
  <r>
    <d v="2025-06-02T00:00:00"/>
    <s v=" DEP TFR   UPI/CR/730126605958/ASHISH K/BARB/ashishmaur/P  aym   0097733162090 AT 01868 DIESEL LOCO WORKS(VARANASI)"/>
    <s v=""/>
    <m/>
    <n v="2000"/>
    <n v="31746.13"/>
    <x v="2"/>
    <x v="0"/>
    <x v="3"/>
    <n v="2000"/>
    <x v="2"/>
    <n v="2000"/>
  </r>
  <r>
    <d v="2025-06-04T00:00:00"/>
    <s v=" DIRECT DR   0043740438351 OF Mr. ANOOP SING  H VATSA AT 01868 DIESEL LOCO WORKS(VARANASI)"/>
    <s v=""/>
    <n v="6280"/>
    <m/>
    <n v="25466.13"/>
    <x v="2"/>
    <x v="1"/>
    <x v="1"/>
    <n v="-6280"/>
    <x v="2"/>
    <n v="6280"/>
  </r>
  <r>
    <d v="2025-06-05T00:00:00"/>
    <s v=" WDL TFR   UPI/DR/515606603133/Ketto On/YESB/paytm-8772/O  idO   0097694162092 AT 01868 DIESEL LOCO WORKS(VARANASI)"/>
    <s v=""/>
    <n v="50"/>
    <m/>
    <n v="25416.13"/>
    <x v="2"/>
    <x v="1"/>
    <x v="3"/>
    <n v="-50"/>
    <x v="2"/>
    <n v="50"/>
  </r>
  <r>
    <d v="2025-06-05T00:00:00"/>
    <s v=" ATM WDL   ATM CASH 7157  DL  W VARANASI          VARANASI"/>
    <s v=""/>
    <n v="20000"/>
    <m/>
    <n v="5416.13"/>
    <x v="2"/>
    <x v="1"/>
    <x v="7"/>
    <n v="-20000"/>
    <x v="2"/>
    <n v="20000"/>
  </r>
  <r>
    <d v="2025-06-05T00:00:00"/>
    <s v=" WDL TFR   UPI/DR/868524304973/A   A Op/UTIB/gpay-11250/P  aym   0097694162092 AT 01868 DIESEL LOCO WORKS(VARANASI)"/>
    <s v=""/>
    <n v="2000"/>
    <m/>
    <n v="3416.13"/>
    <x v="2"/>
    <x v="1"/>
    <x v="3"/>
    <n v="-2000"/>
    <x v="2"/>
    <n v="2000"/>
  </r>
  <r>
    <d v="2025-06-09T00:00:00"/>
    <s v=" DEP TFR   P0625011E159B IOCL LPG SUBSIDY IOAP34D     0097681105218 AT 01868 DIESEL LOCO WORKS(VARANASI)"/>
    <s v=""/>
    <m/>
    <n v="59.52"/>
    <n v="3475.65"/>
    <x v="2"/>
    <x v="0"/>
    <x v="6"/>
    <n v="59.52"/>
    <x v="2"/>
    <n v="59.52"/>
  </r>
  <r>
    <d v="2025-06-19T00:00:00"/>
    <s v=" WDL TFR   Stamp duty SBIRL00000101250616015742 19062025   UP   0097148162093 AT 01868 DIESEL LOCO WORKS(VARANASI)"/>
    <s v=""/>
    <n v="100"/>
    <m/>
    <n v="3375.65"/>
    <x v="2"/>
    <x v="1"/>
    <x v="8"/>
    <n v="-100"/>
    <x v="2"/>
    <n v="100"/>
  </r>
  <r>
    <d v="2025-06-19T00:00:00"/>
    <s v=" DEP TFR   0044198135955 OF Mr. ANOOP SINGH   VATSA AT 01868 DIESEL LOCO WORKS(VARANASI)"/>
    <s v=""/>
    <m/>
    <n v="450000"/>
    <n v="453375.65"/>
    <x v="2"/>
    <x v="0"/>
    <x v="9"/>
    <n v="450000"/>
    <x v="2"/>
    <n v="450000"/>
  </r>
  <r>
    <d v="2025-06-19T00:00:00"/>
    <s v=" WDL TFR   UPI/DR/003812799531/Bank Acc/SBIN/4374542003/P  aym   0097694162092 AT 01868 DIESEL LOCO WORKS(VARANASI)"/>
    <s v=""/>
    <n v="8800"/>
    <m/>
    <n v="444575.65"/>
    <x v="2"/>
    <x v="1"/>
    <x v="3"/>
    <n v="-8800"/>
    <x v="2"/>
    <n v="8800"/>
  </r>
  <r>
    <d v="2025-06-20T00:00:00"/>
    <s v=" DIRECT DR   0043745420032 OF Mr. ANOOP SING  H VATSA AT 01868 DIESEL LOCO WORKS(VARANASI)"/>
    <s v=""/>
    <n v="8704"/>
    <m/>
    <n v="435871.65"/>
    <x v="2"/>
    <x v="1"/>
    <x v="1"/>
    <n v="-8704"/>
    <x v="2"/>
    <n v="8704"/>
  </r>
  <r>
    <d v="2025-06-21T00:00:00"/>
    <s v=" WDL TFR   UPI/DR/025159319918/PhonePe/YESB/bbpsbp@ybl/Pa  yme   0097696162090 AT 01868 DIESEL LOCO WORKS(VARANASI)"/>
    <s v=""/>
    <n v="83296.679999999993"/>
    <m/>
    <n v="352574.97"/>
    <x v="2"/>
    <x v="1"/>
    <x v="3"/>
    <n v="-83296.679999999993"/>
    <x v="2"/>
    <n v="83296.679999999993"/>
  </r>
  <r>
    <d v="2025-06-22T00:00:00"/>
    <s v=" WDL TFR   UPI/DR/410872039229/JITENDRA/SBIN/aaryanrajb/P  aym   0097690162095 AT 01868 DIESEL LOCO WORKS(VARANASI)"/>
    <s v=""/>
    <n v="5"/>
    <m/>
    <n v="352569.97"/>
    <x v="2"/>
    <x v="1"/>
    <x v="3"/>
    <n v="-5"/>
    <x v="2"/>
    <n v="5"/>
  </r>
  <r>
    <d v="2025-06-22T00:00:00"/>
    <s v=" WDL TFR   UPI/DR/822419625335/JITENDRA/SBIN/aaryanrajb/P  aym   0097690162095 AT 01868 DIESEL LOCO WORKS(VARANASI)"/>
    <s v=""/>
    <n v="50000"/>
    <m/>
    <n v="302569.96999999997"/>
    <x v="2"/>
    <x v="1"/>
    <x v="3"/>
    <n v="-50000"/>
    <x v="2"/>
    <n v="50000"/>
  </r>
  <r>
    <d v="2025-06-22T00:00:00"/>
    <s v=" WDL TFR   UPI/DR/517336398540/AMWAY IN/ICIC/weplamwayi/A  MWA   0097690162095 AT 01868 DIESEL LOCO WORKS(VARANASI)"/>
    <s v=""/>
    <n v="5594"/>
    <m/>
    <n v="296975.96999999997"/>
    <x v="2"/>
    <x v="1"/>
    <x v="3"/>
    <n v="-5594"/>
    <x v="2"/>
    <n v="5594"/>
  </r>
  <r>
    <d v="2025-06-23T00:00:00"/>
    <s v=" WDL TFR   UPI/DR/442547636659/BPCL Ufi/YESB/paytmqr57h/P  aym   0097691162095 AT 01868 DIESEL LOCO WORKS(VARANASI)"/>
    <s v=""/>
    <n v="350"/>
    <m/>
    <n v="296625.96999999997"/>
    <x v="2"/>
    <x v="1"/>
    <x v="3"/>
    <n v="-350"/>
    <x v="2"/>
    <n v="350"/>
  </r>
  <r>
    <d v="2025-06-23T00:00:00"/>
    <s v=" WDL TFR   UPI/DR/272376559292/JITENDRA/SBIN/aaryanrajb/P  aym   0097691162095 AT 01868 DIESEL LOCO WORKS(VARANASI)"/>
    <s v=""/>
    <n v="40000"/>
    <m/>
    <n v="256625.97"/>
    <x v="2"/>
    <x v="1"/>
    <x v="3"/>
    <n v="-40000"/>
    <x v="2"/>
    <n v="40000"/>
  </r>
  <r>
    <d v="2025-06-23T00:00:00"/>
    <s v=" WDL TFR   INB For vehicle payment duster   0034095009748 OF   Mr. JITENDRA KUMAR  RA AT 01868 DIESEL LOCO WORKS(VARANASI)"/>
    <s v=""/>
    <n v="50000"/>
    <m/>
    <n v="206625.97"/>
    <x v="2"/>
    <x v="1"/>
    <x v="8"/>
    <n v="-50000"/>
    <x v="2"/>
    <n v="50000"/>
  </r>
  <r>
    <d v="2025-06-23T00:00:00"/>
    <s v=" WDL TFR   UPI/DR/772618668441/SWAMESH /BARB/swamesh393/P  aym   0097691162095 AT 01868 DIESEL LOCO WORKS(VARANASI)"/>
    <s v=""/>
    <n v="2000"/>
    <m/>
    <n v="204625.97"/>
    <x v="2"/>
    <x v="1"/>
    <x v="3"/>
    <n v="-2000"/>
    <x v="2"/>
    <n v="2000"/>
  </r>
  <r>
    <d v="2025-06-23T00:00:00"/>
    <s v=" CAS CHQ XFER WD   CHEQUE TRANSFER TO   0034095009748 OF M  r. JITENDRA KUMAR  RA AT 01868 DIESEL LOCO WORKS(VARANASI)"/>
    <s v="019365"/>
    <n v="120000"/>
    <m/>
    <n v="84625.97"/>
    <x v="2"/>
    <x v="1"/>
    <x v="6"/>
    <n v="-120000"/>
    <x v="2"/>
    <n v="120000"/>
  </r>
  <r>
    <d v="2025-06-24T00:00:00"/>
    <s v=" WDL TFR   UPI/DR/718790249042/SUMAN  S/SBIN/9005309797/P  aym   0097692162094 AT 01868 DIESEL LOCO WORKS(VARANASI)"/>
    <s v=""/>
    <n v="27962"/>
    <m/>
    <n v="56663.97"/>
    <x v="2"/>
    <x v="1"/>
    <x v="3"/>
    <n v="-27962"/>
    <x v="2"/>
    <n v="27962"/>
  </r>
  <r>
    <d v="2025-06-25T00:00:00"/>
    <s v=" WDL TFR   UPI/DR/148891627952/JITENDRA/UBIN/jitendrapr/P  aym   0097693162093 AT 01868 DIESEL LOCO WORKS(VARANASI)"/>
    <s v=""/>
    <n v="14500"/>
    <m/>
    <n v="42163.97"/>
    <x v="2"/>
    <x v="1"/>
    <x v="3"/>
    <n v="-14500"/>
    <x v="2"/>
    <n v="14500"/>
  </r>
  <r>
    <d v="2025-06-25T00:00:00"/>
    <s v=" WDL TFR   UPI/DR/281584751478/IRSHAD K/HDFC/Vyapar.169/P  aym   0097693162093 AT 01868 DIESEL LOCO WORKS(VARANASI)"/>
    <s v=""/>
    <n v="1110"/>
    <m/>
    <n v="41053.97"/>
    <x v="2"/>
    <x v="1"/>
    <x v="3"/>
    <n v="-1110"/>
    <x v="2"/>
    <n v="1110"/>
  </r>
  <r>
    <d v="2025-06-25T00:00:00"/>
    <s v=" WDL TFR   UPI/DR/060890707569/ASHISH K/BARB/ashishmaur/P  aym   0097693162093 AT 01868 DIESEL LOCO WORKS(VARANASI)"/>
    <s v=""/>
    <n v="20000"/>
    <m/>
    <n v="21053.97"/>
    <x v="2"/>
    <x v="1"/>
    <x v="3"/>
    <n v="-20000"/>
    <x v="2"/>
    <n v="20000"/>
  </r>
  <r>
    <d v="2025-06-25T00:00:00"/>
    <s v=" WDL TFR   UPI/DR/367627361949/Bank Acc/SBIN/3258418352/P  aym   0097693162093 AT 01868 DIESEL LOCO WORKS(VARANASI)"/>
    <s v=""/>
    <n v="4000"/>
    <m/>
    <n v="17053.97"/>
    <x v="2"/>
    <x v="1"/>
    <x v="3"/>
    <n v="-4000"/>
    <x v="2"/>
    <n v="4000"/>
  </r>
  <r>
    <d v="2025-06-25T00:00:00"/>
    <s v=" INTERES  T CREDIT"/>
    <s v=""/>
    <m/>
    <n v="366"/>
    <n v="17419.97"/>
    <x v="2"/>
    <x v="0"/>
    <x v="6"/>
    <n v="366"/>
    <x v="2"/>
    <n v="366"/>
  </r>
  <r>
    <d v="2025-06-27T00:00:00"/>
    <s v=" CEMTEX DEP   Sa  lary of Jun 2025"/>
    <s v=""/>
    <m/>
    <n v="112936"/>
    <n v="130355.97"/>
    <x v="2"/>
    <x v="0"/>
    <x v="0"/>
    <n v="112936"/>
    <x v="2"/>
    <n v="112936"/>
  </r>
  <r>
    <d v="2025-06-28T00:00:00"/>
    <s v=" WDL TFR   UPI/DR/606524740398/MS ABHIN/IDIB/hansraj800/P  aym   0097696162090 AT 01868 DIESEL LOCO WORKS(VARANASI)"/>
    <s v=""/>
    <n v="500"/>
    <m/>
    <n v="129855.97"/>
    <x v="2"/>
    <x v="1"/>
    <x v="3"/>
    <n v="-500"/>
    <x v="2"/>
    <n v="500"/>
  </r>
  <r>
    <d v="2025-06-29T00:00:00"/>
    <s v=" WDL TFR   UPI/DR/102426828544/SUMAN  S/SBIN/9005309797/P  aym   0097690162095 AT 01868 DIESEL LOCO WORKS(VARANASI)"/>
    <s v=""/>
    <n v="5000"/>
    <m/>
    <n v="124855.97"/>
    <x v="2"/>
    <x v="1"/>
    <x v="3"/>
    <n v="-5000"/>
    <x v="2"/>
    <n v="5000"/>
  </r>
  <r>
    <d v="2025-06-29T00:00:00"/>
    <s v=" WDL TFR   UPI/DR/518084589861/Amazon I/UTIB/amazonupi@/  You   0097690162095 AT 01868 DIESEL LOCO WORKS(VARANASI)"/>
    <s v=""/>
    <n v="1103"/>
    <m/>
    <n v="123752.97"/>
    <x v="2"/>
    <x v="1"/>
    <x v="3"/>
    <n v="-1103"/>
    <x v="2"/>
    <n v="1103"/>
  </r>
  <r>
    <d v="2025-06-29T00:00:00"/>
    <s v=" WDL TFR   UPI/DR/469120169801/MANSA DEVI/HDFC/mansadevi.  /Pa   0097690162095 AT 01868 DIESEL LOCO WORKS(VARANASI)"/>
    <s v=""/>
    <n v="796"/>
    <m/>
    <n v="122956.97"/>
    <x v="2"/>
    <x v="1"/>
    <x v="3"/>
    <n v="-796"/>
    <x v="2"/>
    <n v="796"/>
  </r>
  <r>
    <d v="2025-06-29T00:00:00"/>
    <s v=" WDL TFR   UPI/DR/976554688055/SARVESH /YESB/Q160356579/P  aym   0097690162095 AT 01868 DIESEL LOCO WORKS(VARANASI)"/>
    <s v=""/>
    <n v="350"/>
    <m/>
    <n v="122606.97"/>
    <x v="2"/>
    <x v="1"/>
    <x v="3"/>
    <n v="-350"/>
    <x v="2"/>
    <n v="350"/>
  </r>
  <r>
    <d v="2025-06-29T00:00:00"/>
    <s v=" WDL TFR   UPI/DR/155426121229/Mr DHRUV/YESB/paytmqr68o/P  aym   0097690162095 AT 01868 DIESEL LOCO WORKS(VARANASI)"/>
    <s v=""/>
    <n v="155"/>
    <m/>
    <n v="122451.97"/>
    <x v="2"/>
    <x v="1"/>
    <x v="3"/>
    <n v="-155"/>
    <x v="2"/>
    <n v="155"/>
  </r>
  <r>
    <d v="2025-06-29T00:00:00"/>
    <s v=" WDL TFR   UPI/DR/780291476026/Mr DHARA/CBIN/9634393387/P  aym   0097690162095 AT 01868 DIESEL LOCO WORKS(VARANASI)"/>
    <s v=""/>
    <n v="50"/>
    <m/>
    <n v="122401.97"/>
    <x v="2"/>
    <x v="1"/>
    <x v="3"/>
    <n v="-50"/>
    <x v="2"/>
    <n v="50"/>
  </r>
  <r>
    <d v="2025-06-30T00:00:00"/>
    <s v=" WDL TFR   UPI/DR/524400731577/SANJEEV /SBIN/sanjeevsun/P  aym   0097691162095 AT 01868 DIESEL LOCO WORKS(VARANASI)"/>
    <s v=""/>
    <n v="808"/>
    <m/>
    <n v="121593.97"/>
    <x v="2"/>
    <x v="1"/>
    <x v="3"/>
    <n v="-808"/>
    <x v="2"/>
    <n v="808"/>
  </r>
  <r>
    <d v="2025-06-30T00:00:00"/>
    <s v=" DEBIT   CMP MANDATE D  EBIT AXIS Mutual FUND"/>
    <s v=""/>
    <n v="1000"/>
    <m/>
    <n v="120593.97"/>
    <x v="2"/>
    <x v="1"/>
    <x v="6"/>
    <n v="-1000"/>
    <x v="2"/>
    <n v="1000"/>
  </r>
  <r>
    <d v="2025-06-30T00:00:00"/>
    <s v=" WDL TFR   UPI/DR/454613806619/HIWAY TY/YESB/Q295569481/P  aym   0097691162095 AT 01868 DIESEL LOCO WORKS(VARANASI)"/>
    <s v=""/>
    <n v="1600"/>
    <m/>
    <n v="118993.97"/>
    <x v="2"/>
    <x v="1"/>
    <x v="3"/>
    <n v="-1600"/>
    <x v="2"/>
    <n v="1600"/>
  </r>
  <r>
    <d v="2025-06-30T00:00:00"/>
    <s v=" WDL TFR   UPI/DR/993175502130/SRI VEDM/YESB/MAB0450610/P  aym   0097691162095 AT 01868 DIESEL LOCO WORKS(VARANASI)"/>
    <s v=""/>
    <n v="620"/>
    <m/>
    <n v="118373.97"/>
    <x v="2"/>
    <x v="1"/>
    <x v="3"/>
    <n v="-620"/>
    <x v="2"/>
    <n v="620"/>
  </r>
  <r>
    <d v="2025-06-30T00:00:00"/>
    <s v=" WDL TFR   UPI/DR/915812323403/YUG SAHI/YESB/MAB0450610/P  aym   0097691162095 AT 01868 DIESEL LOCO WORKS(VARANASI)"/>
    <s v=""/>
    <n v="90"/>
    <m/>
    <n v="118283.97"/>
    <x v="2"/>
    <x v="1"/>
    <x v="3"/>
    <n v="-90"/>
    <x v="2"/>
    <n v="90"/>
  </r>
  <r>
    <d v="2025-06-30T00:00:00"/>
    <s v=" WDL TFR   UPI/DR/109185260759/SRI VEDM/YESB/MAB0450610/P  aym   0097691162095 AT 01868 DIESEL LOCO WORKS(VARANASI)"/>
    <s v=""/>
    <n v="60"/>
    <m/>
    <n v="118223.97"/>
    <x v="2"/>
    <x v="1"/>
    <x v="3"/>
    <n v="-60"/>
    <x v="2"/>
    <n v="60"/>
  </r>
  <r>
    <d v="2025-07-01T00:00:00"/>
    <s v=" DEBIT   ACHDr YESB00709  000028661 TP ACH INDIANE"/>
    <s v=""/>
    <n v="3000"/>
    <m/>
    <n v="115223.97"/>
    <x v="3"/>
    <x v="1"/>
    <x v="1"/>
    <n v="-3000"/>
    <x v="3"/>
    <n v="3000"/>
  </r>
  <r>
    <d v="2025-07-01T00:00:00"/>
    <s v=" DEBIT   ACHDr YESB00709  000028661 TP ACH INDIANE"/>
    <s v=""/>
    <n v="2000"/>
    <m/>
    <n v="113223.97"/>
    <x v="3"/>
    <x v="1"/>
    <x v="1"/>
    <n v="-2000"/>
    <x v="3"/>
    <n v="2000"/>
  </r>
  <r>
    <d v="2025-07-01T00:00:00"/>
    <s v=" DEBIT   ACHDr YESB00709  000028661 TP ACH INDIANE"/>
    <s v=""/>
    <n v="5000"/>
    <m/>
    <n v="108223.97"/>
    <x v="3"/>
    <x v="1"/>
    <x v="1"/>
    <n v="-5000"/>
    <x v="3"/>
    <n v="5000"/>
  </r>
  <r>
    <d v="2025-07-01T00:00:00"/>
    <s v=" DEBIT   ACHDr YESB00709  000028661 TP ACH INDIANE"/>
    <s v=""/>
    <n v="2000"/>
    <m/>
    <n v="106223.97"/>
    <x v="3"/>
    <x v="1"/>
    <x v="1"/>
    <n v="-2000"/>
    <x v="3"/>
    <n v="2000"/>
  </r>
  <r>
    <d v="2025-07-01T00:00:00"/>
    <s v=" DEBIT   ACHDr YESB00709  000028661 TP ACH INDIANE"/>
    <s v=""/>
    <n v="2000"/>
    <m/>
    <n v="104223.97"/>
    <x v="3"/>
    <x v="1"/>
    <x v="1"/>
    <n v="-2000"/>
    <x v="3"/>
    <n v="2000"/>
  </r>
  <r>
    <d v="2025-07-01T00:00:00"/>
    <s v=" DEBIT   ACHDr YESB00709  000028661 TP ACH INDIANE"/>
    <s v=""/>
    <n v="5000"/>
    <m/>
    <n v="99223.97"/>
    <x v="3"/>
    <x v="1"/>
    <x v="1"/>
    <n v="-5000"/>
    <x v="3"/>
    <n v="5000"/>
  </r>
  <r>
    <d v="2025-07-01T00:00:00"/>
    <s v=" DEBIT   ACHDr NACH00  000000056369 ETMONEY"/>
    <s v=""/>
    <n v="1000"/>
    <m/>
    <n v="98223.97"/>
    <x v="3"/>
    <x v="1"/>
    <x v="2"/>
    <n v="-1000"/>
    <x v="3"/>
    <n v="1000"/>
  </r>
  <r>
    <d v="2025-07-01T00:00:00"/>
    <s v=" WDL TFR   UPI/DR/622219708254/SUMAN  S/SBIN/9005309797/P  aym   0097692162094 AT 01868 DIESEL LOCO WORKS(VARANASI)"/>
    <s v=""/>
    <n v="1500"/>
    <m/>
    <n v="96723.97"/>
    <x v="3"/>
    <x v="1"/>
    <x v="3"/>
    <n v="-1500"/>
    <x v="3"/>
    <n v="1500"/>
  </r>
  <r>
    <d v="2025-07-01T00:00:00"/>
    <s v=" DIRECT DR   INT TRF FRM 10852263841 TO 43740432393   00437404323  93 OF Mr. ANOOP SINGH VATSA AT 01868 DIESEL LOCO WORKS(VARANASI)"/>
    <s v=""/>
    <n v="16124"/>
    <m/>
    <n v="80599.97"/>
    <x v="3"/>
    <x v="1"/>
    <x v="1"/>
    <n v="-16124"/>
    <x v="3"/>
    <n v="16124"/>
  </r>
  <r>
    <d v="2025-07-02T00:00:00"/>
    <s v=" DIRECT DR   0044198135955 OF Mr. ANOOP SING  H VATSA AT 01868 DIESEL LOCO WORKS(VARANASI)"/>
    <s v=""/>
    <n v="7717"/>
    <m/>
    <n v="72882.97"/>
    <x v="3"/>
    <x v="1"/>
    <x v="1"/>
    <n v="-7717"/>
    <x v="3"/>
    <n v="7717"/>
  </r>
  <r>
    <d v="2025-07-02T00:00:00"/>
    <s v=" DIRECT DR   0043745420032 OF Mr. ANOOP SING  H VATSA AT 01868 DIESEL LOCO WORKS(VARANASI)"/>
    <s v=""/>
    <n v="8704"/>
    <m/>
    <n v="64178.97"/>
    <x v="3"/>
    <x v="1"/>
    <x v="1"/>
    <n v="-8704"/>
    <x v="3"/>
    <n v="8704"/>
  </r>
  <r>
    <d v="2025-07-02T00:00:00"/>
    <s v=" WDL TFR   UPI/DR/227440149306/SRI VEDM/YESB/MAB0450610/P  aym   0097693162093 AT 01868 DIESEL LOCO WORKS(VARANASI)"/>
    <s v=""/>
    <n v="335"/>
    <m/>
    <n v="63843.97"/>
    <x v="3"/>
    <x v="1"/>
    <x v="3"/>
    <n v="-335"/>
    <x v="3"/>
    <n v="335"/>
  </r>
  <r>
    <d v="2025-07-02T00:00:00"/>
    <s v=" DEBIT   ACHDr NACH00  000000056369 ETMONEY"/>
    <s v=""/>
    <n v="1500"/>
    <m/>
    <n v="62343.97"/>
    <x v="3"/>
    <x v="1"/>
    <x v="2"/>
    <n v="-1500"/>
    <x v="3"/>
    <n v="1500"/>
  </r>
  <r>
    <d v="2025-07-02T00:00:00"/>
    <s v=" WDL TFR   UPI/DR/793903887938/YUG SAHI/YESB/MAB0450610/P  aym   0097693162093 AT 01868 DIESEL LOCO WORKS(VARANASI)"/>
    <s v=""/>
    <n v="1080"/>
    <m/>
    <n v="61263.97"/>
    <x v="3"/>
    <x v="1"/>
    <x v="3"/>
    <n v="-1080"/>
    <x v="3"/>
    <n v="1080"/>
  </r>
  <r>
    <d v="2025-07-02T00:00:00"/>
    <s v=" WDL TFR   UPI/DR/795500821390/SRI VED /IDIB/vedmatagt@/P  aym   0097693162093 AT 01868 DIESEL LOCO WORKS(VARANASI)"/>
    <s v=""/>
    <n v="1100"/>
    <m/>
    <n v="60163.97"/>
    <x v="3"/>
    <x v="1"/>
    <x v="3"/>
    <n v="-1100"/>
    <x v="3"/>
    <n v="1100"/>
  </r>
  <r>
    <d v="2025-07-02T00:00:00"/>
    <s v=" WDL TFR   UPI/DR/099343418630/SANDHIR /YESB/Q711779686/P  aym   0097693162093 AT 01868 DIESEL LOCO WORKS(VARANASI)"/>
    <s v=""/>
    <n v="165"/>
    <m/>
    <n v="59998.97"/>
    <x v="3"/>
    <x v="1"/>
    <x v="3"/>
    <n v="-165"/>
    <x v="3"/>
    <n v="165"/>
  </r>
  <r>
    <d v="2025-07-02T00:00:00"/>
    <s v=" WDL TFR   UPI/DR/525913513138/AVDHESH /YESB/Q211517191/P  aym   0097693162093 AT 01868 DIESEL LOCO WORKS(VARANASI)"/>
    <s v=""/>
    <n v="60"/>
    <m/>
    <n v="59938.97"/>
    <x v="3"/>
    <x v="1"/>
    <x v="3"/>
    <n v="-60"/>
    <x v="3"/>
    <n v="60"/>
  </r>
  <r>
    <d v="2025-07-02T00:00:00"/>
    <s v=" WDL TFR   UPI/DR/189058085390/SHAMBHAV/KKBK/shambhavis/P  aym   0097693162093 AT 01868 DIESEL LOCO WORKS(VARANASI)"/>
    <s v=""/>
    <n v="15000"/>
    <m/>
    <n v="44938.97"/>
    <x v="3"/>
    <x v="1"/>
    <x v="3"/>
    <n v="-15000"/>
    <x v="3"/>
    <n v="15000"/>
  </r>
  <r>
    <d v="2025-07-02T00:00:00"/>
    <s v=" WDL TFR   UPI/DR/129210545015/SWAPNIL /YESB/Q578013239/P  aym   0097693162093 AT 01868 DIESEL LOCO WORKS(VARANASI)"/>
    <s v=""/>
    <n v="35"/>
    <m/>
    <n v="44903.97"/>
    <x v="3"/>
    <x v="1"/>
    <x v="3"/>
    <n v="-35"/>
    <x v="3"/>
    <n v="35"/>
  </r>
  <r>
    <d v="2025-07-02T00:00:00"/>
    <s v=" WDL TFR   UPI/DR/883989975776/NNH SCAN/YESB/Q854562269/P  aym   0097693162093 AT 01868 DIESEL LOCO WORKS(VARANASI)"/>
    <s v=""/>
    <n v="50"/>
    <m/>
    <n v="44853.97"/>
    <x v="3"/>
    <x v="1"/>
    <x v="3"/>
    <n v="-50"/>
    <x v="3"/>
    <n v="50"/>
  </r>
  <r>
    <d v="2025-07-03T00:00:00"/>
    <s v=" WDL TFR   UPI/DR/809121411845/Seekho/utib/seekhoswn./Man  dat   0097694162092 AT 01868 DIESEL LOCO WORKS(VARANASI)"/>
    <s v=""/>
    <n v="1"/>
    <m/>
    <n v="44852.97"/>
    <x v="3"/>
    <x v="1"/>
    <x v="3"/>
    <n v="-1"/>
    <x v="3"/>
    <n v="1"/>
  </r>
  <r>
    <d v="2025-07-04T00:00:00"/>
    <s v=" DIRECT DR   0043740438351 OF Mr. ANOOP SING  H VATSA AT 01868 DIESEL LOCO WORKS(VARANASI)"/>
    <s v=""/>
    <n v="6280"/>
    <m/>
    <n v="38572.97"/>
    <x v="3"/>
    <x v="1"/>
    <x v="1"/>
    <n v="-6280"/>
    <x v="3"/>
    <n v="6280"/>
  </r>
  <r>
    <d v="2025-07-04T00:00:00"/>
    <s v=" WDL TFR   UPI/DR/395807221186/BPCL Ufi/YESB/paytmqr57h/P  aym   0097695162091 AT 01868 DIESEL LOCO WORKS(VARANASI)"/>
    <s v=""/>
    <n v="350"/>
    <m/>
    <n v="38222.97"/>
    <x v="3"/>
    <x v="1"/>
    <x v="3"/>
    <n v="-350"/>
    <x v="3"/>
    <n v="350"/>
  </r>
  <r>
    <d v="2025-07-04T00:00:00"/>
    <s v=" WDL TFR   UPI/DR/226410375484/IRCTC Ra/YESB/IRCTCRAILW/P  aym   0097695162091 AT 01868 DIESEL LOCO WORKS(VARANASI)"/>
    <s v=""/>
    <n v="604.04999999999995"/>
    <m/>
    <n v="37618.92"/>
    <x v="3"/>
    <x v="1"/>
    <x v="3"/>
    <n v="-604.04999999999995"/>
    <x v="3"/>
    <n v="604.04999999999995"/>
  </r>
  <r>
    <d v="2025-07-04T00:00:00"/>
    <s v=" WDL TFR   UPI/DR/891241487098/SUMAN  S/SBIN/9005309797/P  aym   0097695162091 AT 01868 DIESEL LOCO WORKS(VARANASI)"/>
    <s v=""/>
    <n v="1500"/>
    <m/>
    <n v="36118.92"/>
    <x v="3"/>
    <x v="1"/>
    <x v="3"/>
    <n v="-1500"/>
    <x v="3"/>
    <n v="1500"/>
  </r>
  <r>
    <d v="2025-07-04T00:00:00"/>
    <s v=" WDL TFR   UPI/DR/100907780836/WWW OLX IN/HDFC/olxnew.pay  /Up   0097695162091 AT 01868 DIESEL LOCO WORKS(VARANASI)"/>
    <s v=""/>
    <n v="999"/>
    <m/>
    <n v="35119.919999999998"/>
    <x v="3"/>
    <x v="1"/>
    <x v="3"/>
    <n v="-999"/>
    <x v="3"/>
    <n v="999"/>
  </r>
  <r>
    <d v="2025-07-05T00:00:00"/>
    <s v=" WDL TFR   UPI/DR/518608108907/Ketto On/YESB/paytm-8772/O  idO   0097696162090 AT 01868 DIESEL LOCO WORKS(VARANASI)"/>
    <s v=""/>
    <n v="50"/>
    <m/>
    <n v="35069.919999999998"/>
    <x v="3"/>
    <x v="1"/>
    <x v="3"/>
    <n v="-50"/>
    <x v="3"/>
    <n v="50"/>
  </r>
  <r>
    <d v="2025-07-06T00:00:00"/>
    <s v=" WDL TFR   UPI/DR/037425509407/BRIJENDR/SBIN/9839954229/P  aym   0097690162095 AT 01868 DIESEL LOCO WORKS(VARANASI)"/>
    <s v=""/>
    <n v="1000"/>
    <m/>
    <n v="34069.919999999998"/>
    <x v="3"/>
    <x v="1"/>
    <x v="3"/>
    <n v="-1000"/>
    <x v="3"/>
    <n v="1000"/>
  </r>
  <r>
    <d v="2025-07-08T00:00:00"/>
    <s v=" WDL TFR   UPI/DR/055097449729/SUMAN  S/SBIN/9005309797/P  aym   0097692162094 AT 01868 DIESEL LOCO WORKS(VARANASI)"/>
    <s v=""/>
    <n v="2566"/>
    <m/>
    <n v="31503.919999999998"/>
    <x v="3"/>
    <x v="1"/>
    <x v="3"/>
    <n v="-2566"/>
    <x v="3"/>
    <n v="2566"/>
  </r>
  <r>
    <d v="2025-07-08T00:00:00"/>
    <s v=" DEP TFR   P072502244EF0 IOCL LPG SUBSIDY IOAP34D     0097693105214 AT 01868 DIESEL LOCO WORKS(VARANASI)"/>
    <s v=""/>
    <m/>
    <n v="59.52"/>
    <n v="31563.439999999999"/>
    <x v="3"/>
    <x v="0"/>
    <x v="6"/>
    <n v="59.52"/>
    <x v="3"/>
    <n v="59.52"/>
  </r>
  <r>
    <d v="2025-07-08T00:00:00"/>
    <s v=" WDL TFR   UPI/DR/779865916921/SUMAN  S/SBIN/9005309797/P  aym   0097692162094 AT 01868 DIESEL LOCO WORKS(VARANASI)"/>
    <s v=""/>
    <n v="15000"/>
    <m/>
    <n v="16563.439999999999"/>
    <x v="3"/>
    <x v="1"/>
    <x v="3"/>
    <n v="-15000"/>
    <x v="3"/>
    <n v="15000"/>
  </r>
  <r>
    <d v="2025-07-09T00:00:00"/>
    <s v=" WDL TFR   UPI/DR/054699231412/Amazon P/RATN/amazon-pod/P  aym   0097693162093 AT 01868 DIESEL LOCO WORKS(VARANASI)"/>
    <s v=""/>
    <n v="1868"/>
    <m/>
    <n v="14695.44"/>
    <x v="3"/>
    <x v="1"/>
    <x v="3"/>
    <n v="-1868"/>
    <x v="3"/>
    <n v="1868"/>
  </r>
  <r>
    <d v="2025-07-09T00:00:00"/>
    <s v=" DEP TFR   UPI/CR/866539088837/SUMAN  S/SBIN/9005309797/P  aym   0097735162098 AT 01868 DIESEL LOCO WORKS(VARANASI)"/>
    <s v=""/>
    <m/>
    <n v="14000"/>
    <n v="28695.439999999999"/>
    <x v="3"/>
    <x v="0"/>
    <x v="3"/>
    <n v="14000"/>
    <x v="3"/>
    <n v="14000"/>
  </r>
  <r>
    <d v="2025-07-09T00:00:00"/>
    <s v=" WDL TFR   UPI/DR/317083865611/AFJALANS/YESB/Q841036483/P  aym   0097693162093 AT 01868 DIESEL LOCO WORKS(VARANASI)"/>
    <s v=""/>
    <n v="10"/>
    <m/>
    <n v="28685.439999999999"/>
    <x v="3"/>
    <x v="1"/>
    <x v="3"/>
    <n v="-10"/>
    <x v="3"/>
    <n v="10"/>
  </r>
  <r>
    <d v="2025-07-10T00:00:00"/>
    <s v=" DEP TFR   UPI/CR/519110933053/ARVIND K/SBIN/arvinds.dl/  UPI   0097736162097 AT 01868 DIESEL LOCO WORKS(VARANASI)"/>
    <s v=""/>
    <m/>
    <n v="2297"/>
    <n v="30982.44"/>
    <x v="3"/>
    <x v="0"/>
    <x v="3"/>
    <n v="2297"/>
    <x v="3"/>
    <n v="2297"/>
  </r>
  <r>
    <d v="2025-07-10T00:00:00"/>
    <s v=" WDL TFR   UPI/DR/704710771915/Seekho/utib/seekhoswn./Man  dat   0097694162092 AT 01868 DIESEL LOCO WORKS(VARANASI)"/>
    <s v=""/>
    <n v="199"/>
    <m/>
    <n v="30783.439999999999"/>
    <x v="3"/>
    <x v="1"/>
    <x v="3"/>
    <n v="-199"/>
    <x v="3"/>
    <n v="199"/>
  </r>
  <r>
    <d v="2025-07-10T00:00:00"/>
    <s v=" ATM WDL   ATM CASH 4467  DL  W VARANASI          VARANASI"/>
    <s v=""/>
    <n v="15000"/>
    <m/>
    <n v="15783.44"/>
    <x v="3"/>
    <x v="1"/>
    <x v="7"/>
    <n v="-15000"/>
    <x v="3"/>
    <n v="15000"/>
  </r>
  <r>
    <d v="2025-07-10T00:00:00"/>
    <s v=" WDL TFR   UPI/DR/738375005552/GUFRAN A/YESB/paytmqr6k3/P  aym   0097694162092 AT 01868 DIESEL LOCO WORKS(VARANASI)"/>
    <s v=""/>
    <n v="70"/>
    <m/>
    <n v="15713.44"/>
    <x v="3"/>
    <x v="1"/>
    <x v="3"/>
    <n v="-70"/>
    <x v="3"/>
    <n v="70"/>
  </r>
  <r>
    <d v="2025-07-11T00:00:00"/>
    <s v=" WDL TFR   UPI/DR/692454839045/MUKESH Y/UBIN/7347809270/P  aym   0097695162091 AT 01868 DIESEL LOCO WORKS(VARANASI)"/>
    <s v=""/>
    <n v="500"/>
    <m/>
    <n v="15213.44"/>
    <x v="3"/>
    <x v="1"/>
    <x v="3"/>
    <n v="-500"/>
    <x v="3"/>
    <n v="500"/>
  </r>
  <r>
    <d v="2025-07-11T00:00:00"/>
    <s v=" WDL TFR   UPI/DR/987446115363/KESHAVA /YESB/paytmqr5vc/P  aym   0097695162091 AT 01868 DIESEL LOCO WORKS(VARANASI)"/>
    <s v=""/>
    <n v="350"/>
    <m/>
    <n v="14863.44"/>
    <x v="3"/>
    <x v="1"/>
    <x v="3"/>
    <n v="-350"/>
    <x v="3"/>
    <n v="350"/>
  </r>
  <r>
    <d v="2025-07-11T00:00:00"/>
    <s v=" WDL TFR   UPI/DR/272862347113/AFJALANS/YESB/Q841036483/P  aym   0097695162091 AT 01868 DIESEL LOCO WORKS(VARANASI)"/>
    <s v=""/>
    <n v="10"/>
    <m/>
    <n v="14853.44"/>
    <x v="3"/>
    <x v="1"/>
    <x v="3"/>
    <n v="-10"/>
    <x v="3"/>
    <n v="10"/>
  </r>
  <r>
    <d v="2025-07-13T00:00:00"/>
    <s v=" WDL TFR   UPI/DR/108010530687/NALIN SI/DBSS/nalinbisen/  PAY   0097690162095 AT 01868 DIESEL LOCO WORKS(VARANASI)"/>
    <s v=""/>
    <n v="424"/>
    <m/>
    <n v="14429.44"/>
    <x v="3"/>
    <x v="1"/>
    <x v="3"/>
    <n v="-424"/>
    <x v="3"/>
    <n v="424"/>
  </r>
  <r>
    <d v="2025-07-13T00:00:00"/>
    <s v=" WDL TFR   UPI/DR/515217857940/NALIN SI/DBSS/nalinbisen/P  aym   0097690162095 AT 01868 DIESEL LOCO WORKS(VARANASI)"/>
    <s v=""/>
    <n v="424"/>
    <m/>
    <n v="14005.44"/>
    <x v="3"/>
    <x v="1"/>
    <x v="3"/>
    <n v="-424"/>
    <x v="3"/>
    <n v="424"/>
  </r>
  <r>
    <d v="2025-07-13T00:00:00"/>
    <s v=" WDL TFR   UPI/DR/096854144988/ANIL KUMAR/UBIN/7275636218  /Pa   0097690162095 AT 01868 DIESEL LOCO WORKS(VARANASI)"/>
    <s v=""/>
    <n v="3000"/>
    <m/>
    <n v="11005.44"/>
    <x v="3"/>
    <x v="1"/>
    <x v="3"/>
    <n v="-3000"/>
    <x v="3"/>
    <n v="3000"/>
  </r>
  <r>
    <d v="2025-07-14T00:00:00"/>
    <s v=" WDL TFR   UPI/DR/910887746219/FIDUCIA /ICIC/fiduciaent/T  his   0097691162095 AT 01868 DIESEL LOCO WORKS(VARANASI)"/>
    <s v=""/>
    <n v="1001"/>
    <m/>
    <n v="10004.44"/>
    <x v="3"/>
    <x v="1"/>
    <x v="3"/>
    <n v="-1001"/>
    <x v="3"/>
    <n v="1001"/>
  </r>
  <r>
    <d v="2025-07-15T00:00:00"/>
    <s v=" WDL TFR   UPI/DR/520209399386/Roju Err L/UTIB/MAB.037212  /Pa   0097692162094 AT 01868 DIESEL LOCO WORKS(VARANASI)"/>
    <s v=""/>
    <n v="1080"/>
    <m/>
    <n v="8924.44"/>
    <x v="3"/>
    <x v="1"/>
    <x v="3"/>
    <n v="-1080"/>
    <x v="3"/>
    <n v="1080"/>
  </r>
  <r>
    <d v="2025-07-15T00:00:00"/>
    <s v=" WDL TFR   UPI/DR/120314380311/RED TAPE/HDFC/redtapesho/P  aym   0097692162094 AT 01868 DIESEL LOCO WORKS(VARANASI)"/>
    <s v=""/>
    <n v="2966"/>
    <m/>
    <n v="5958.44"/>
    <x v="3"/>
    <x v="1"/>
    <x v="3"/>
    <n v="-2966"/>
    <x v="3"/>
    <n v="2966"/>
  </r>
  <r>
    <d v="2025-07-15T00:00:00"/>
    <s v=" WDL TFR   UPI/DR/059513273753/Mr BRIJE/YESB/Q153541053/P  aym   0097692162094 AT 01868 DIESEL LOCO WORKS(VARANASI)"/>
    <s v=""/>
    <n v="20"/>
    <m/>
    <n v="5938.44"/>
    <x v="3"/>
    <x v="1"/>
    <x v="3"/>
    <n v="-20"/>
    <x v="3"/>
    <n v="20"/>
  </r>
  <r>
    <d v="2025-07-16T00:00:00"/>
    <s v=" WDL TFR   UPI/DR/273743120757/IRCTC Ra/YESB/IRCTCRAILW/P  aym   0097693162093 AT 01868 DIESEL LOCO WORKS(VARANASI)"/>
    <s v=""/>
    <n v="584.04999999999995"/>
    <m/>
    <n v="5354.39"/>
    <x v="3"/>
    <x v="1"/>
    <x v="3"/>
    <n v="-584.04999999999995"/>
    <x v="3"/>
    <n v="584.04999999999995"/>
  </r>
  <r>
    <d v="2025-07-16T00:00:00"/>
    <s v=" WDL TFR   UPI/DR/525551080217/IRCTC Ra/YESB/IRCTCRAILW/P  aym   0097693162093 AT 01868 DIESEL LOCO WORKS(VARANASI)"/>
    <s v=""/>
    <n v="584.04999999999995"/>
    <m/>
    <n v="4770.34"/>
    <x v="3"/>
    <x v="1"/>
    <x v="3"/>
    <n v="-584.04999999999995"/>
    <x v="3"/>
    <n v="584.04999999999995"/>
  </r>
  <r>
    <d v="2025-07-17T00:00:00"/>
    <s v=" WDL TFR   UPI/DR/048941796833/ANIL KUMAR/UBIN/7275636218  /Pa   0097694162092 AT 01868 DIESEL LOCO WORKS(VARANASI)"/>
    <s v=""/>
    <n v="150"/>
    <m/>
    <n v="4620.34"/>
    <x v="3"/>
    <x v="1"/>
    <x v="3"/>
    <n v="-150"/>
    <x v="3"/>
    <n v="150"/>
  </r>
  <r>
    <d v="2025-07-19T00:00:00"/>
    <s v=" WDL TFR   UPI/DR/288462786880/Flipkart/YESB/paytm-5650/O  idP   0097696162090 AT 01868 DIESEL LOCO WORKS(VARANASI)"/>
    <s v=""/>
    <n v="783"/>
    <m/>
    <n v="3837.34"/>
    <x v="3"/>
    <x v="1"/>
    <x v="3"/>
    <n v="-783"/>
    <x v="3"/>
    <n v="783"/>
  </r>
  <r>
    <d v="2025-07-19T00:00:00"/>
    <s v=" WDL TFR   UPI/DR/101006587784/FLIPKART/HDFC/flipkart.p/  Upi   0097696162090 AT 01868 DIESEL LOCO WORKS(VARANASI)"/>
    <s v=""/>
    <n v="367"/>
    <m/>
    <n v="3470.34"/>
    <x v="3"/>
    <x v="1"/>
    <x v="3"/>
    <n v="-367"/>
    <x v="3"/>
    <n v="367"/>
  </r>
  <r>
    <d v="2025-07-19T00:00:00"/>
    <s v=" WDL TFR   UPI/DR/101006593464/FLIPKART/HDFC/flipkart.p/  Upi   0097696162090 AT 01868 DIESEL LOCO WORKS(VARANASI)"/>
    <s v=""/>
    <n v="253"/>
    <m/>
    <n v="3217.34"/>
    <x v="3"/>
    <x v="1"/>
    <x v="3"/>
    <n v="-253"/>
    <x v="3"/>
    <n v="253"/>
  </r>
  <r>
    <d v="2025-07-19T00:00:00"/>
    <s v=" WDL TFR   UPI/DR/048480343005/Universa/UTIB/gpay-11244/P  aym   0097696162090 AT 01868 DIESEL LOCO WORKS(VARANASI)"/>
    <s v=""/>
    <n v="52"/>
    <m/>
    <n v="3165.34"/>
    <x v="3"/>
    <x v="1"/>
    <x v="3"/>
    <n v="-52"/>
    <x v="3"/>
    <n v="52"/>
  </r>
  <r>
    <d v="2025-07-20T00:00:00"/>
    <s v=" WDL TFR   UPI/DR/652387176197/BPCL Ufi/YESB/paytmqr57h/P  aym   0097690162095 AT 01868 DIESEL LOCO WORKS(VARANASI)"/>
    <s v=""/>
    <n v="350"/>
    <m/>
    <n v="2815.34"/>
    <x v="3"/>
    <x v="1"/>
    <x v="3"/>
    <n v="-350"/>
    <x v="3"/>
    <n v="350"/>
  </r>
  <r>
    <d v="2025-07-20T00:00:00"/>
    <s v=" DEP TFR   UPI/CR/692363072047/SUMAN  S/SBIN/9005309797/P  aym   0097732162091 AT 01868 DIESEL LOCO WORKS(VARANASI)"/>
    <s v=""/>
    <m/>
    <n v="2000"/>
    <n v="4815.34"/>
    <x v="3"/>
    <x v="0"/>
    <x v="3"/>
    <n v="2000"/>
    <x v="3"/>
    <n v="2000"/>
  </r>
  <r>
    <d v="2025-07-20T00:00:00"/>
    <s v=" CSH DEP (CDM)   CDM4040108DLW VA  RANASI          VARANASI     UP I"/>
    <s v=""/>
    <m/>
    <n v="1500"/>
    <n v="6315.34"/>
    <x v="3"/>
    <x v="0"/>
    <x v="6"/>
    <n v="1500"/>
    <x v="3"/>
    <n v="1500"/>
  </r>
  <r>
    <d v="2025-07-20T00:00:00"/>
    <s v=" WDL TFR   UPI/DR/806548167966/PRIYA SI/UTIB/s22ultra16/P  aym   0097690162095 AT 01868 DIESEL LOCO WORKS(VARANASI)"/>
    <s v=""/>
    <n v="5000"/>
    <m/>
    <n v="1315.34"/>
    <x v="3"/>
    <x v="1"/>
    <x v="3"/>
    <n v="-5000"/>
    <x v="3"/>
    <n v="5000"/>
  </r>
  <r>
    <d v="2025-07-23T00:00:00"/>
    <s v=" WDL TFR   UPI/DR/297071684673/Aradhya /PPIW/8789034388/P  aym   0097693162093 AT 01868 DIESEL LOCO WORKS(VARANASI)"/>
    <s v=""/>
    <n v="150"/>
    <m/>
    <n v="1165.3399999999999"/>
    <x v="3"/>
    <x v="1"/>
    <x v="3"/>
    <n v="-150"/>
    <x v="3"/>
    <n v="150"/>
  </r>
  <r>
    <d v="2025-07-24T00:00:00"/>
    <s v=" WDL TFR   UPI/DR/350770752008/RAJESH K/YESB/paytmqr6gl/P  aym   0097693162093 AT 01868 DIESEL LOCO WORKS(VARANASI)"/>
    <s v=""/>
    <n v="15"/>
    <m/>
    <n v="1150.3399999999999"/>
    <x v="3"/>
    <x v="1"/>
    <x v="3"/>
    <n v="-15"/>
    <x v="3"/>
    <n v="15"/>
  </r>
  <r>
    <d v="2025-07-27T00:00:00"/>
    <s v=" WDL TFR   UPI/DR/670524604290/AFJALANS/YESB/Q841036483/P  aym   0097690162095 AT 01868 DIESEL LOCO WORKS(VARANASI)"/>
    <s v=""/>
    <n v="10"/>
    <m/>
    <n v="1140.3399999999999"/>
    <x v="3"/>
    <x v="1"/>
    <x v="3"/>
    <n v="-10"/>
    <x v="3"/>
    <n v="10"/>
  </r>
  <r>
    <d v="2025-07-28T00:00:00"/>
    <s v=" DEBIT   CMP MANDATE D  EBIT AXIS Mutual FUND"/>
    <s v=""/>
    <n v="1000"/>
    <m/>
    <n v="140.34"/>
    <x v="3"/>
    <x v="1"/>
    <x v="6"/>
    <n v="-1000"/>
    <x v="3"/>
    <n v="1000"/>
  </r>
  <r>
    <d v="2025-07-28T00:00:00"/>
    <s v=" WDL TFR   UPI/DR/680010903557/AFJALANS/YESB/Q841036483/P  aym   0097691162095 AT 01868 DIESEL LOCO WORKS(VARANASI)"/>
    <s v=""/>
    <n v="10"/>
    <m/>
    <n v="130.34"/>
    <x v="3"/>
    <x v="1"/>
    <x v="3"/>
    <n v="-10"/>
    <x v="3"/>
    <n v="10"/>
  </r>
  <r>
    <d v="2025-07-29T00:00:00"/>
    <s v=" CEMTEX DEP   Sa  lary of Jul 2025"/>
    <s v=""/>
    <m/>
    <n v="112701"/>
    <n v="112831.34"/>
    <x v="3"/>
    <x v="0"/>
    <x v="0"/>
    <n v="112701"/>
    <x v="3"/>
    <n v="112701"/>
  </r>
  <r>
    <d v="2025-07-29T00:00:00"/>
    <s v=" WDL TFR   UPI/DR/527862117144/SHAMBHAV/KKBK/shambhavis/P  aym   0097692162094 AT 01868 DIESEL LOCO WORKS(VARANASI)"/>
    <s v=""/>
    <n v="17000"/>
    <m/>
    <n v="95831.34"/>
    <x v="3"/>
    <x v="1"/>
    <x v="3"/>
    <n v="-17000"/>
    <x v="3"/>
    <n v="17000"/>
  </r>
  <r>
    <d v="2025-07-30T00:00:00"/>
    <s v=" WDL TFR   UPI/DR/344171230207/Bank Acc/SBIN/3560875277/P  aym   0097693162093 AT 01868 DIESEL LOCO WORKS(VARANASI)"/>
    <s v=""/>
    <n v="250"/>
    <m/>
    <n v="95581.34"/>
    <x v="3"/>
    <x v="1"/>
    <x v="3"/>
    <n v="-250"/>
    <x v="3"/>
    <n v="250"/>
  </r>
  <r>
    <d v="2025-07-30T00:00:00"/>
    <s v=" WDL TFR   UPI/DR/594084621925/KESHAVA /YESB/paytmqr5vc/P  aym   0097693162093 AT 01868 DIESEL LOCO WORKS(VARANASI)"/>
    <s v=""/>
    <n v="1000"/>
    <m/>
    <n v="94581.34"/>
    <x v="3"/>
    <x v="1"/>
    <x v="3"/>
    <n v="-1000"/>
    <x v="3"/>
    <n v="1000"/>
  </r>
  <r>
    <d v="2025-07-30T00:00:00"/>
    <s v=" WDL TFR   UPI/DR/521122053952/KakashaE/AIRP/kakashaexp/K  aka   0097693162093 AT 01868 DIESEL LOCO WORKS(VARANASI)"/>
    <s v=""/>
    <n v="1299"/>
    <m/>
    <n v="93282.34"/>
    <x v="3"/>
    <x v="1"/>
    <x v="3"/>
    <n v="-1299"/>
    <x v="3"/>
    <n v="1299"/>
  </r>
  <r>
    <d v="2025-07-31T00:00:00"/>
    <s v=" DEBIT   SBI CRE  DIT CARD PAYMENT"/>
    <s v=""/>
    <n v="1556"/>
    <m/>
    <n v="91726.34"/>
    <x v="3"/>
    <x v="1"/>
    <x v="6"/>
    <n v="-1556"/>
    <x v="3"/>
    <n v="1556"/>
  </r>
  <r>
    <d v="2025-07-31T00:00:00"/>
    <s v=" WDL TFR   UPI/DR/863463521976/Monalisa/YESB/paytmqr1kn/P  aym   0097694162092 AT 01868 DIESEL LOCO WORKS(VARANASI)"/>
    <s v=""/>
    <n v="1000"/>
    <m/>
    <n v="90726.34"/>
    <x v="3"/>
    <x v="1"/>
    <x v="3"/>
    <n v="-1000"/>
    <x v="3"/>
    <n v="1000"/>
  </r>
  <r>
    <d v="2025-08-01T00:00:00"/>
    <s v=" DEBIT   ACHDr YESB00709  000028661 TP ACH INDIANE"/>
    <s v=""/>
    <n v="5000"/>
    <m/>
    <n v="85726.34"/>
    <x v="4"/>
    <x v="1"/>
    <x v="1"/>
    <n v="-5000"/>
    <x v="4"/>
    <n v="5000"/>
  </r>
  <r>
    <d v="2025-08-01T00:00:00"/>
    <s v=" DEBIT   ACHDr YESB00709  000028661 TP ACH INDIANE"/>
    <s v=""/>
    <n v="2000"/>
    <m/>
    <n v="83726.34"/>
    <x v="4"/>
    <x v="1"/>
    <x v="1"/>
    <n v="-2000"/>
    <x v="4"/>
    <n v="2000"/>
  </r>
  <r>
    <d v="2025-08-01T00:00:00"/>
    <s v=" DEBIT   ACHDr YESB00709  000028661 TP ACH INDIANE"/>
    <s v=""/>
    <n v="2000"/>
    <m/>
    <n v="81726.34"/>
    <x v="4"/>
    <x v="1"/>
    <x v="1"/>
    <n v="-2000"/>
    <x v="4"/>
    <n v="2000"/>
  </r>
  <r>
    <d v="2025-08-01T00:00:00"/>
    <s v=" DEBIT   ACHDr YESB00709  000028661 TP ACH INDIANE"/>
    <s v=""/>
    <n v="5000"/>
    <m/>
    <n v="76726.34"/>
    <x v="4"/>
    <x v="1"/>
    <x v="1"/>
    <n v="-5000"/>
    <x v="4"/>
    <n v="5000"/>
  </r>
  <r>
    <d v="2025-08-01T00:00:00"/>
    <s v=" DEBIT   ACHDr YESB00709  000028661 TP ACH INDIANE"/>
    <s v=""/>
    <n v="2000"/>
    <m/>
    <n v="74726.34"/>
    <x v="4"/>
    <x v="1"/>
    <x v="1"/>
    <n v="-2000"/>
    <x v="4"/>
    <n v="2000"/>
  </r>
  <r>
    <d v="2025-08-01T00:00:00"/>
    <s v=" DEBIT   ACHDr YESB00709  000028661 TP ACH INDIANE"/>
    <s v=""/>
    <n v="3000"/>
    <m/>
    <n v="71726.34"/>
    <x v="4"/>
    <x v="1"/>
    <x v="1"/>
    <n v="-3000"/>
    <x v="4"/>
    <n v="3000"/>
  </r>
  <r>
    <d v="2025-08-01T00:00:00"/>
    <s v=" DEBIT   ACHDr NACH00  000000056369 ETMONEY"/>
    <s v=""/>
    <n v="1000"/>
    <m/>
    <n v="70726.34"/>
    <x v="4"/>
    <x v="1"/>
    <x v="2"/>
    <n v="-1000"/>
    <x v="4"/>
    <n v="1000"/>
  </r>
  <r>
    <d v="2025-08-01T00:00:00"/>
    <s v=" WDL TFR   UPI/DR/383793814230/IRCTC Ra/YESB/IRCTCRAILW/P  aym   0097695162091 AT 01868 DIESEL LOCO WORKS(VARANASI)"/>
    <s v=""/>
    <n v="525"/>
    <m/>
    <n v="70201.34"/>
    <x v="4"/>
    <x v="1"/>
    <x v="3"/>
    <n v="-525"/>
    <x v="4"/>
    <n v="525"/>
  </r>
  <r>
    <d v="2025-08-01T00:00:00"/>
    <s v=" DIRECT DR   INT TRF FRM 10852263841 TO 43740432393   00437404323  93 OF Mr. ANOOP SINGH VATSA AT 01868 DIESEL LOCO WORKS(VARANASI)"/>
    <s v=""/>
    <n v="16159"/>
    <m/>
    <n v="54042.34"/>
    <x v="4"/>
    <x v="1"/>
    <x v="1"/>
    <n v="-16159"/>
    <x v="4"/>
    <n v="16159"/>
  </r>
  <r>
    <d v="2025-08-02T00:00:00"/>
    <s v=" WDL TFR   UPI/DR/618474832895/BPCL Ufi/YESB/paytmqr57h/P  aym   0097696162090 AT 01868 DIESEL LOCO WORKS(VARANASI)"/>
    <s v=""/>
    <n v="350"/>
    <m/>
    <n v="53692.34"/>
    <x v="4"/>
    <x v="1"/>
    <x v="3"/>
    <n v="-350"/>
    <x v="4"/>
    <n v="350"/>
  </r>
  <r>
    <d v="2025-08-02T00:00:00"/>
    <s v=" DIRECT DR   0044198135955 OF Mr. ANOOP SING  H VATSA AT 01868 DIESEL LOCO WORKS(VARANASI)"/>
    <s v=""/>
    <n v="7717"/>
    <m/>
    <n v="45975.34"/>
    <x v="4"/>
    <x v="1"/>
    <x v="1"/>
    <n v="-7717"/>
    <x v="4"/>
    <n v="7717"/>
  </r>
  <r>
    <d v="2025-08-02T00:00:00"/>
    <s v=" DIRECT DR   0043745420032 OF Mr. ANOOP SING  H VATSA AT 01868 DIESEL LOCO WORKS(VARANASI)"/>
    <s v=""/>
    <n v="8704"/>
    <m/>
    <n v="37271.339999999997"/>
    <x v="4"/>
    <x v="1"/>
    <x v="1"/>
    <n v="-8704"/>
    <x v="4"/>
    <n v="8704"/>
  </r>
  <r>
    <d v="2025-08-02T00:00:00"/>
    <s v=" DEBIT   ACHDr NACH00  000000056369 ETMONEY"/>
    <s v=""/>
    <n v="1500"/>
    <m/>
    <n v="35771.339999999997"/>
    <x v="4"/>
    <x v="1"/>
    <x v="2"/>
    <n v="-1500"/>
    <x v="4"/>
    <n v="1500"/>
  </r>
  <r>
    <d v="2025-08-02T00:00:00"/>
    <s v=" WDL TFR   UPI/DR/069895759238/SANGEET /SBIN/1085213443/P  aym   0097696162090 AT 01868 DIESEL LOCO WORKS(VARANASI)"/>
    <s v=""/>
    <n v="1475"/>
    <m/>
    <n v="34296.339999999997"/>
    <x v="4"/>
    <x v="1"/>
    <x v="3"/>
    <n v="-1475"/>
    <x v="4"/>
    <n v="1475"/>
  </r>
  <r>
    <d v="2025-08-02T00:00:00"/>
    <s v=" WDL TFR   UPI/DR/337578250669/Atul Sales/UTIB/8808245412  /Pa   0097696162090 AT 01868 DIESEL LOCO WORKS(VARANASI)"/>
    <s v=""/>
    <n v="900"/>
    <m/>
    <n v="33396.339999999997"/>
    <x v="4"/>
    <x v="1"/>
    <x v="3"/>
    <n v="-900"/>
    <x v="4"/>
    <n v="900"/>
  </r>
  <r>
    <d v="2025-08-02T00:00:00"/>
    <s v=" WDL TFR   UPI/DR/958757096889/Monalisa/YESB/paytmqr1kn/P  aym   0097696162090 AT 01868 DIESEL LOCO WORKS(VARANASI)"/>
    <s v=""/>
    <n v="1000"/>
    <m/>
    <n v="32396.34"/>
    <x v="4"/>
    <x v="1"/>
    <x v="3"/>
    <n v="-1000"/>
    <x v="4"/>
    <n v="1000"/>
  </r>
  <r>
    <d v="2025-08-02T00:00:00"/>
    <s v=" ATM WDL   ATM CASH 7119           DLW VARANASI          VARAN"/>
    <s v=""/>
    <n v="20000"/>
    <m/>
    <n v="12396.34"/>
    <x v="4"/>
    <x v="1"/>
    <x v="7"/>
    <n v="-20000"/>
    <x v="4"/>
    <n v="20000"/>
  </r>
  <r>
    <d v="2025-08-02T00:00:00"/>
    <s v=" WDL TFR   UPI/DR/055859995704/AFJALANS/YESB/Q841036483/P  aym   0097696162090 AT 01868 DIESEL LOCO WORKS(VARANASI)"/>
    <s v=""/>
    <n v="10"/>
    <m/>
    <n v="12386.34"/>
    <x v="4"/>
    <x v="1"/>
    <x v="3"/>
    <n v="-10"/>
    <x v="4"/>
    <n v="10"/>
  </r>
  <r>
    <d v="2025-08-03T00:00:00"/>
    <s v=" WDL TFR   UPI/DR/308075826378/ANIL KUM/BARB/8881311238/P  aym   0097690162095 AT 01868 DIESEL LOCO WORKS(VARANASI)"/>
    <s v=""/>
    <n v="157"/>
    <m/>
    <n v="12229.34"/>
    <x v="4"/>
    <x v="1"/>
    <x v="3"/>
    <n v="-157"/>
    <x v="4"/>
    <n v="157"/>
  </r>
  <r>
    <d v="2025-08-03T00:00:00"/>
    <s v=" WDL TFR   UPI/DR/920468436755/NEELESH /BARB/ranjanneel/P  aym   0097690162095 AT 01868 DIESEL LOCO WORKS(VARANASI)"/>
    <s v=""/>
    <n v="900"/>
    <m/>
    <n v="11329.34"/>
    <x v="4"/>
    <x v="1"/>
    <x v="3"/>
    <n v="-900"/>
    <x v="4"/>
    <n v="900"/>
  </r>
  <r>
    <d v="2025-08-03T00:00:00"/>
    <s v=" WDL TFR   UPI/DR/743256832851/Kishori /YESB/paytmqr6b2/P  aym   0097690162095 AT 01868 DIESEL LOCO WORKS(VARANASI)"/>
    <s v=""/>
    <n v="580"/>
    <m/>
    <n v="10749.34"/>
    <x v="4"/>
    <x v="1"/>
    <x v="3"/>
    <n v="-580"/>
    <x v="4"/>
    <n v="580"/>
  </r>
  <r>
    <d v="2025-08-03T00:00:00"/>
    <s v=" WDL TFR   UPI/DR/126942969412/Kishori /YESB/paytmqr6b2/P  aym   0097690162095 AT 01868 DIESEL LOCO WORKS(VARANASI)"/>
    <s v=""/>
    <n v="140"/>
    <m/>
    <n v="10609.34"/>
    <x v="4"/>
    <x v="1"/>
    <x v="3"/>
    <n v="-140"/>
    <x v="4"/>
    <n v="140"/>
  </r>
  <r>
    <d v="2025-08-03T00:00:00"/>
    <s v=" WDL TFR   UPI/DR/915267093725/MR AMIT /YESB/paytmqr65p/P  aym   0097690162095 AT 01868 DIESEL LOCO WORKS(VARANASI)"/>
    <s v=""/>
    <n v="530"/>
    <m/>
    <n v="10079.34"/>
    <x v="4"/>
    <x v="1"/>
    <x v="3"/>
    <n v="-530"/>
    <x v="4"/>
    <n v="530"/>
  </r>
  <r>
    <d v="2025-08-03T00:00:00"/>
    <s v=" WDL TFR   UPI/DR/207643099358/SATYAM F/YESB/Q899739867/P  aym   0097690162095 AT 01868 DIESEL LOCO WORKS(VARANASI)"/>
    <s v=""/>
    <n v="2221"/>
    <m/>
    <n v="7858.34"/>
    <x v="4"/>
    <x v="1"/>
    <x v="3"/>
    <n v="-2221"/>
    <x v="4"/>
    <n v="2221"/>
  </r>
  <r>
    <d v="2025-08-04T00:00:00"/>
    <s v=" DIRECT DR   0043740438351 OF Mr. ANOOP SING  H VATSA AT 01868 DIESEL LOCO WORKS(VARANASI)"/>
    <s v=""/>
    <n v="6280"/>
    <m/>
    <n v="1578.34"/>
    <x v="4"/>
    <x v="1"/>
    <x v="1"/>
    <n v="-6280"/>
    <x v="4"/>
    <n v="6280"/>
  </r>
  <r>
    <d v="2025-08-05T00:00:00"/>
    <s v=" WDL TFR   UPI/DR/521704637662/Ketto On/YESB/paytm-8772/O  idO   0097692162094 AT 01868 DIESEL LOCO WORKS(VARANASI)"/>
    <s v=""/>
    <n v="50"/>
    <m/>
    <n v="1528.34"/>
    <x v="4"/>
    <x v="1"/>
    <x v="3"/>
    <n v="-50"/>
    <x v="4"/>
    <n v="50"/>
  </r>
  <r>
    <d v="2025-08-05T00:00:00"/>
    <s v=" WDL TFR   UPI/DR/788655818509/Aradhya /PPIW/8789034388/P  aym   0097692162094 AT 01868 DIESEL LOCO WORKS(VARANASI)"/>
    <s v=""/>
    <n v="20"/>
    <m/>
    <n v="1508.34"/>
    <x v="4"/>
    <x v="1"/>
    <x v="3"/>
    <n v="-20"/>
    <x v="4"/>
    <n v="20"/>
  </r>
  <r>
    <d v="2025-08-06T00:00:00"/>
    <s v=" WDL TFR   UPI/DR/251869847487/AFJALANS/YESB/Q841036483/P  aym   0097693162093 AT 01868 DIESEL LOCO WORKS(VARANASI)"/>
    <s v=""/>
    <n v="10"/>
    <m/>
    <n v="1498.34"/>
    <x v="4"/>
    <x v="1"/>
    <x v="3"/>
    <n v="-10"/>
    <x v="4"/>
    <n v="10"/>
  </r>
  <r>
    <d v="2025-08-08T00:00:00"/>
    <s v=" DEP TFR   UPI/CR/522001493856/Mrs SARI/IDIB/saritasing/  UPI   0097737162096 AT 01868 DIESEL LOCO WORKS(VARANASI)"/>
    <s v=""/>
    <m/>
    <n v="25000"/>
    <n v="26498.34"/>
    <x v="4"/>
    <x v="0"/>
    <x v="3"/>
    <n v="25000"/>
    <x v="4"/>
    <n v="25000"/>
  </r>
  <r>
    <d v="2025-08-08T00:00:00"/>
    <s v=" WDL TFR   UPI/DR/885482052936/AFJALANS/YESB/Q841036483/P  aym   0097695162091 AT 01868 DIESEL LOCO WORKS(VARANASI)"/>
    <s v=""/>
    <n v="10"/>
    <m/>
    <n v="26488.34"/>
    <x v="4"/>
    <x v="1"/>
    <x v="3"/>
    <n v="-10"/>
    <x v="4"/>
    <n v="10"/>
  </r>
  <r>
    <d v="2025-08-09T00:00:00"/>
    <s v=" WDL TFR   UPI/DR/882966142215/Seekho/utib/seekhoswn./Man  dat   0097696162090 AT 01868 DIESEL LOCO WORKS(VARANASI)"/>
    <s v=""/>
    <n v="199"/>
    <m/>
    <n v="26289.34"/>
    <x v="4"/>
    <x v="1"/>
    <x v="3"/>
    <n v="-199"/>
    <x v="4"/>
    <n v="199"/>
  </r>
  <r>
    <d v="2025-08-09T00:00:00"/>
    <s v=" WDL TFR   UPI/DR/108474795666/PhonePe/UTIB/BBPSBP@axl/Pa  yme   0097696162090 AT 01868 DIESEL LOCO WORKS(VARANASI)"/>
    <s v=""/>
    <n v="1439.15"/>
    <m/>
    <n v="24850.19"/>
    <x v="4"/>
    <x v="1"/>
    <x v="3"/>
    <n v="-1439.15"/>
    <x v="4"/>
    <n v="1439.15"/>
  </r>
  <r>
    <d v="2025-08-09T00:00:00"/>
    <s v=" DEP TFR   P0825019C30FF IOCL LPG SUBSIDY IOAP34D     0099976105212 AT 01868 DIESEL LOCO WORKS(VARANASI)"/>
    <s v=""/>
    <m/>
    <n v="59.52"/>
    <n v="24909.71"/>
    <x v="4"/>
    <x v="0"/>
    <x v="6"/>
    <n v="59.52"/>
    <x v="4"/>
    <n v="59.52"/>
  </r>
  <r>
    <d v="2025-08-09T00:00:00"/>
    <s v=" WDL TFR   UPI/DR/462904240375/AFJALANS/YESB/Q841036483/P  aym   0097696162090 AT 01868 DIESEL LOCO WORKS(VARANASI)"/>
    <s v=""/>
    <n v="10"/>
    <m/>
    <n v="24899.71"/>
    <x v="4"/>
    <x v="1"/>
    <x v="3"/>
    <n v="-10"/>
    <x v="4"/>
    <n v="10"/>
  </r>
  <r>
    <d v="2025-08-10T00:00:00"/>
    <s v=" WDL TFR   UPI/DR/989453940211/VIJAYADA/SBIN/1vd1s1@sbi/P  aym   0097690162095 AT 01868 DIESEL LOCO WORKS(VARANASI)"/>
    <s v=""/>
    <n v="2100"/>
    <m/>
    <n v="22799.71"/>
    <x v="4"/>
    <x v="1"/>
    <x v="3"/>
    <n v="-2100"/>
    <x v="4"/>
    <n v="2100"/>
  </r>
  <r>
    <d v="2025-08-10T00:00:00"/>
    <s v=" WDL TFR   UPI/DR/508174348278/SUMAN  S/SBIN/9005309797/P  aym   0097690162095 AT 01868 DIESEL LOCO WORKS(VARANASI)"/>
    <s v=""/>
    <n v="15000"/>
    <m/>
    <n v="7799.71"/>
    <x v="4"/>
    <x v="1"/>
    <x v="3"/>
    <n v="-15000"/>
    <x v="4"/>
    <n v="15000"/>
  </r>
  <r>
    <d v="2025-08-10T00:00:00"/>
    <s v=" WDL TFR   UPI/DR/605899341766/AFJALANS/YESB/Q841036483/P  aym   0097690162095 AT 01868 DIESEL LOCO WORKS(VARANASI)"/>
    <s v=""/>
    <n v="12"/>
    <m/>
    <n v="7787.71"/>
    <x v="4"/>
    <x v="1"/>
    <x v="3"/>
    <n v="-12"/>
    <x v="4"/>
    <n v="12"/>
  </r>
  <r>
    <d v="2025-08-11T00:00:00"/>
    <s v=" WDL TFR   UPI/DR/110357832167/AFJALANS/YESB/Q841036483/P  aym   0097691162095 AT 01868 DIESEL LOCO WORKS(VARANASI)"/>
    <s v=""/>
    <n v="11"/>
    <m/>
    <n v="7776.71"/>
    <x v="4"/>
    <x v="1"/>
    <x v="3"/>
    <n v="-11"/>
    <x v="4"/>
    <n v="11"/>
  </r>
  <r>
    <d v="2025-08-12T00:00:00"/>
    <s v=" WDL TFR   UPI/DR/287576045286/AFJALANS/YESB/Q841036483/P  aym   0097692162094 AT 01868 DIESEL LOCO WORKS(VARANASI)"/>
    <s v=""/>
    <n v="10"/>
    <m/>
    <n v="7766.71"/>
    <x v="4"/>
    <x v="1"/>
    <x v="3"/>
    <n v="-10"/>
    <x v="4"/>
    <n v="10"/>
  </r>
  <r>
    <d v="2025-08-12T00:00:00"/>
    <s v=" WDL TFR   UPI/DR/369340389990/NALIN SI/DBSS/nalinbisen/P  aym   0097692162094 AT 01868 DIESEL LOCO WORKS(VARANASI)"/>
    <s v=""/>
    <n v="424"/>
    <m/>
    <n v="7342.71"/>
    <x v="4"/>
    <x v="1"/>
    <x v="3"/>
    <n v="-424"/>
    <x v="4"/>
    <n v="424"/>
  </r>
  <r>
    <d v="2025-08-12T00:00:00"/>
    <s v=" WDL TFR   UPI/DR/171427866599/AFJALANS/YESB/Q841036483/P  aym   0097692162094 AT 01868 DIESEL LOCO WORKS(VARANASI)"/>
    <s v=""/>
    <n v="12"/>
    <m/>
    <n v="7330.71"/>
    <x v="4"/>
    <x v="1"/>
    <x v="3"/>
    <n v="-12"/>
    <x v="4"/>
    <n v="12"/>
  </r>
  <r>
    <d v="2025-08-13T00:00:00"/>
    <s v=" WDL TFR   UPI/DR/849051083021/AFJALANS/YESB/Q841036483/P  aym   0097693162093 AT 01868 DIESEL LOCO WORKS(VARANASI)"/>
    <s v=""/>
    <n v="11"/>
    <m/>
    <n v="7319.71"/>
    <x v="4"/>
    <x v="1"/>
    <x v="3"/>
    <n v="-11"/>
    <x v="4"/>
    <n v="11"/>
  </r>
  <r>
    <d v="2025-08-13T00:00:00"/>
    <s v=" WDL TFR   UPI/DR/924659020774/AFJALANS/YESB/Q841036483/P  aym   0097693162093 AT 01868 DIESEL LOCO WORKS(VARANASI)"/>
    <s v=""/>
    <n v="11"/>
    <m/>
    <n v="7308.71"/>
    <x v="4"/>
    <x v="1"/>
    <x v="3"/>
    <n v="-11"/>
    <x v="4"/>
    <n v="11"/>
  </r>
  <r>
    <d v="2025-08-14T00:00:00"/>
    <s v=" WDL TFR   UPI/DR/129776858856/KESHAVA /YESB/paytmqr5vc/P  aym   0097694162092 AT 01868 DIESEL LOCO WORKS(VARANASI)"/>
    <s v=""/>
    <n v="350"/>
    <m/>
    <n v="6958.71"/>
    <x v="4"/>
    <x v="1"/>
    <x v="3"/>
    <n v="-350"/>
    <x v="4"/>
    <n v="350"/>
  </r>
  <r>
    <d v="2025-08-14T00:00:00"/>
    <s v=" WDL TFR   UPI/DR/938465954947/AFJALANS/YESB/Q841036483/P  aym   0097694162092 AT 01868 DIESEL LOCO WORKS(VARANASI)"/>
    <s v=""/>
    <n v="11"/>
    <m/>
    <n v="6947.71"/>
    <x v="4"/>
    <x v="1"/>
    <x v="3"/>
    <n v="-11"/>
    <x v="4"/>
    <n v="11"/>
  </r>
  <r>
    <d v="2025-08-14T00:00:00"/>
    <s v=" WDL TFR   UPI/DR/303338567983/AFJALANS/YESB/Q841036483/P  aym   0097694162092 AT 01868 DIESEL LOCO WORKS(VARANASI)"/>
    <s v=""/>
    <n v="10"/>
    <m/>
    <n v="6937.71"/>
    <x v="4"/>
    <x v="1"/>
    <x v="3"/>
    <n v="-10"/>
    <x v="4"/>
    <n v="10"/>
  </r>
  <r>
    <d v="2025-08-15T00:00:00"/>
    <s v=" WDL TFR   UPI/DR/419205024898/Karishma/YESB/paytmqrdgn/P  aym   0097695162091 AT 01868 DIESEL LOCO WORKS(VARANASI)"/>
    <s v=""/>
    <n v="10"/>
    <m/>
    <n v="6927.71"/>
    <x v="4"/>
    <x v="1"/>
    <x v="3"/>
    <n v="-10"/>
    <x v="4"/>
    <n v="10"/>
  </r>
  <r>
    <d v="2025-08-15T00:00:00"/>
    <s v=" WDL TFR   UPI/DR/713551983908/AFJALANS/YESB/Q841036483/P  aym   0097695162091 AT 01868 DIESEL LOCO WORKS(VARANASI)"/>
    <s v=""/>
    <n v="10"/>
    <m/>
    <n v="6917.71"/>
    <x v="4"/>
    <x v="1"/>
    <x v="3"/>
    <n v="-10"/>
    <x v="4"/>
    <n v="10"/>
  </r>
  <r>
    <d v="2025-08-16T00:00:00"/>
    <s v=" DEP TFR   UPI/CR/923132621124/SHAMBHAV/KKBK/7355395914/P  aym   0097738162095 AT 01868 DIESEL LOCO WORKS(VARANASI)"/>
    <s v=""/>
    <m/>
    <n v="3000"/>
    <n v="9917.7099999999991"/>
    <x v="4"/>
    <x v="0"/>
    <x v="3"/>
    <n v="3000"/>
    <x v="4"/>
    <n v="3000"/>
  </r>
  <r>
    <d v="2025-08-16T00:00:00"/>
    <s v=" WDL TFR   UPI/DR/123045518348/SOMAN  T/SBIN/9651679032/P  aym   0097696162090 AT 01868 DIESEL LOCO WORKS(VARANASI)"/>
    <s v=""/>
    <n v="450"/>
    <m/>
    <n v="9467.7099999999991"/>
    <x v="4"/>
    <x v="1"/>
    <x v="3"/>
    <n v="-450"/>
    <x v="4"/>
    <n v="450"/>
  </r>
  <r>
    <d v="2025-08-16T00:00:00"/>
    <s v=" WDL TFR   UPI/DR/783042986456/GUFRAN A/YESB/paytmqr1he/P  aym   0097696162090 AT 01868 DIESEL LOCO WORKS(VARANASI)"/>
    <s v=""/>
    <n v="70"/>
    <m/>
    <n v="9397.7099999999991"/>
    <x v="4"/>
    <x v="1"/>
    <x v="3"/>
    <n v="-70"/>
    <x v="4"/>
    <n v="70"/>
  </r>
  <r>
    <d v="2025-08-16T00:00:00"/>
    <s v=" WDL TFR   UPI/DR/795098166572/AFJALANS/YESB/Q841036483/P  aym   0097696162090 AT 01868 DIESEL LOCO WORKS(VARANASI)"/>
    <s v=""/>
    <n v="15"/>
    <m/>
    <n v="9382.7099999999991"/>
    <x v="4"/>
    <x v="1"/>
    <x v="3"/>
    <n v="-15"/>
    <x v="4"/>
    <n v="15"/>
  </r>
  <r>
    <d v="2025-08-16T00:00:00"/>
    <s v=" WDL TFR   UPI/DR/819404762182/DINESH P/YESB/paytmqr6k4/P  aym   0097696162090 AT 01868 DIESEL LOCO WORKS(VARANASI)"/>
    <s v=""/>
    <n v="220"/>
    <m/>
    <n v="9162.7099999999991"/>
    <x v="4"/>
    <x v="1"/>
    <x v="3"/>
    <n v="-220"/>
    <x v="4"/>
    <n v="220"/>
  </r>
  <r>
    <d v="2025-08-16T00:00:00"/>
    <s v=" WDL TFR   UPI/DR/962988621352/AJAY KUMAR/BARB/7753996103  /Pa   0097696162090 AT 01868 DIESEL LOCO WORKS(VARANASI)"/>
    <s v=""/>
    <n v="1100"/>
    <m/>
    <n v="8062.71"/>
    <x v="4"/>
    <x v="1"/>
    <x v="3"/>
    <n v="-1100"/>
    <x v="4"/>
    <n v="1100"/>
  </r>
  <r>
    <d v="2025-08-17T00:00:00"/>
    <s v=" WDL TFR   UPI/DR/953345794142/AMAN KUMAR/ICIC/Getepay.uc  /Pa   0097690162095 AT 01868 DIESEL LOCO WORKS(VARANASI)"/>
    <s v=""/>
    <n v="10"/>
    <m/>
    <n v="8052.71"/>
    <x v="4"/>
    <x v="1"/>
    <x v="3"/>
    <n v="-10"/>
    <x v="4"/>
    <n v="10"/>
  </r>
  <r>
    <d v="2025-08-17T00:00:00"/>
    <s v=" WDL TFR   UPI/DR/193198176759/Bank Acc/BARB/5126810000/P  aym   0097690162095 AT 01868 DIESEL LOCO WORKS(VARANASI)"/>
    <s v=""/>
    <n v="1"/>
    <m/>
    <n v="8051.71"/>
    <x v="4"/>
    <x v="1"/>
    <x v="3"/>
    <n v="-1"/>
    <x v="4"/>
    <n v="1"/>
  </r>
  <r>
    <d v="2025-08-18T00:00:00"/>
    <s v=" WDL TFR   UPI/DR/969765332655/Bank Acc/BARB/5126810000/P  aym   0097691162095 AT 01868 DIESEL LOCO WORKS(VARANASI)"/>
    <s v=""/>
    <n v="5000"/>
    <m/>
    <n v="3051.71"/>
    <x v="4"/>
    <x v="1"/>
    <x v="3"/>
    <n v="-5000"/>
    <x v="4"/>
    <n v="5000"/>
  </r>
  <r>
    <d v="2025-08-21T00:00:00"/>
    <s v=" WDL TFR   UPI/DR/392876666891/AMIT  KU/SBIN/7752801131/P  aym   0097694162092 AT 01868 DIESEL LOCO WORKS(VARANASI)"/>
    <s v=""/>
    <n v="1100"/>
    <m/>
    <n v="1951.71"/>
    <x v="4"/>
    <x v="1"/>
    <x v="3"/>
    <n v="-1100"/>
    <x v="4"/>
    <n v="1100"/>
  </r>
  <r>
    <d v="2025-08-21T00:00:00"/>
    <s v=" WDL TFR   UPI/DR/687907768632/Manoj bo/YESB/Q540946305/P  aym   0097694162092 AT 01868 DIESEL LOCO WORKS(VARANASI)"/>
    <s v=""/>
    <n v="150"/>
    <m/>
    <n v="1801.71"/>
    <x v="4"/>
    <x v="1"/>
    <x v="3"/>
    <n v="-150"/>
    <x v="4"/>
    <n v="150"/>
  </r>
  <r>
    <d v="2025-08-24T00:00:00"/>
    <s v=" WDL TFR   UPI/DR/987277532110/AFJALANS/YESB/Q841036483/P  aym   0097690162095 AT 01868 DIESEL LOCO WORKS(VARANASI)"/>
    <s v=""/>
    <n v="11"/>
    <m/>
    <n v="1790.71"/>
    <x v="4"/>
    <x v="1"/>
    <x v="3"/>
    <n v="-11"/>
    <x v="4"/>
    <n v="11"/>
  </r>
  <r>
    <d v="2025-08-25T00:00:00"/>
    <s v=" CEMTEX DEP   ITDTAX RE  FUND 2025-26 AGMPV9823C"/>
    <s v=""/>
    <m/>
    <n v="15770"/>
    <n v="17560.71"/>
    <x v="4"/>
    <x v="0"/>
    <x v="0"/>
    <n v="15770"/>
    <x v="4"/>
    <n v="15770"/>
  </r>
  <r>
    <d v="2025-08-27T00:00:00"/>
    <s v=" WDL TFR   UPI/DR/438940517320/IRCTC Ra/YESB/IRCTCRAILW/P  aym   0097693162093 AT 01868 DIESEL LOCO WORKS(VARANASI)"/>
    <s v=""/>
    <n v="595"/>
    <m/>
    <n v="16965.71"/>
    <x v="4"/>
    <x v="1"/>
    <x v="3"/>
    <n v="-595"/>
    <x v="4"/>
    <n v="595"/>
  </r>
  <r>
    <d v="2025-08-27T00:00:00"/>
    <s v=" CEMTEX DEP   Sa  lary of Aug 2025"/>
    <s v=""/>
    <m/>
    <n v="114138"/>
    <n v="131103.71"/>
    <x v="4"/>
    <x v="0"/>
    <x v="0"/>
    <n v="114138"/>
    <x v="4"/>
    <n v="114138"/>
  </r>
  <r>
    <d v="2025-08-27T00:00:00"/>
    <s v=" WDL TFR   UPI/DR/939848286525/Neelam/BARB/8922869119/Pay  men   0097693162093 AT 01868 DIESEL LOCO WORKS(VARANASI)"/>
    <s v=""/>
    <n v="1660"/>
    <m/>
    <n v="129443.71"/>
    <x v="4"/>
    <x v="1"/>
    <x v="3"/>
    <n v="-1660"/>
    <x v="4"/>
    <n v="1660"/>
  </r>
  <r>
    <d v="2025-08-28T00:00:00"/>
    <s v=" DEBIT   CMP MANDATE D  EBIT AXIS Mutual FUND"/>
    <s v=""/>
    <n v="1000"/>
    <m/>
    <n v="128443.71"/>
    <x v="4"/>
    <x v="1"/>
    <x v="6"/>
    <n v="-1000"/>
    <x v="4"/>
    <n v="1000"/>
  </r>
  <r>
    <d v="2025-08-29T00:00:00"/>
    <s v=" WDL TFR   UPI/DR/694978329165/AMAN KUMAR/ICIC/Getepay.uc  /Pa   0097695162091 AT 01868 DIESEL LOCO WORKS(VARANASI)"/>
    <s v=""/>
    <n v="11"/>
    <m/>
    <n v="128432.71"/>
    <x v="4"/>
    <x v="1"/>
    <x v="3"/>
    <n v="-11"/>
    <x v="4"/>
    <n v="11"/>
  </r>
  <r>
    <d v="2025-08-29T00:00:00"/>
    <s v=" WDL TFR   UPI/DR/748292517492/AFJALANS/YESB/Q841036483/P  aym   0097695162091 AT 01868 DIESEL LOCO WORKS(VARANASI)"/>
    <s v=""/>
    <n v="10"/>
    <m/>
    <n v="128422.71"/>
    <x v="4"/>
    <x v="1"/>
    <x v="3"/>
    <n v="-10"/>
    <x v="4"/>
    <n v="10"/>
  </r>
  <r>
    <d v="2025-08-30T00:00:00"/>
    <s v=" WDL TFR   UPI/DR/828348067306/AFJALANS/YESB/Q841036483/P  aym   0097696162090 AT 01868 DIESEL LOCO WORKS(VARANASI)"/>
    <s v=""/>
    <n v="10"/>
    <m/>
    <n v="128412.71"/>
    <x v="4"/>
    <x v="1"/>
    <x v="3"/>
    <n v="-10"/>
    <x v="4"/>
    <n v="10"/>
  </r>
  <r>
    <d v="2025-08-30T00:00:00"/>
    <s v=" WDL TFR   UPI/DR/486428305117/KESHAVA /YESB/paytmqr5vc/P  aym   0097696162090 AT 01868 DIESEL LOCO WORKS(VARANASI)"/>
    <s v=""/>
    <n v="350"/>
    <m/>
    <n v="128062.71"/>
    <x v="4"/>
    <x v="1"/>
    <x v="3"/>
    <n v="-350"/>
    <x v="4"/>
    <n v="350"/>
  </r>
  <r>
    <d v="2025-08-30T00:00:00"/>
    <s v=" WDL TFR   UPI/DR/865459781388/SHAMBHAV/KKBK/shambhavis/P  aym   0097696162090 AT 01868 DIESEL LOCO WORKS(VARANASI)"/>
    <s v=""/>
    <n v="20000"/>
    <m/>
    <n v="108062.71"/>
    <x v="4"/>
    <x v="1"/>
    <x v="3"/>
    <n v="-20000"/>
    <x v="4"/>
    <n v="20000"/>
  </r>
  <r>
    <d v="2025-08-31T00:00:00"/>
    <s v=" ATM WDL   ATM CASH 667            DLW VARANASI          VARAN"/>
    <s v=""/>
    <n v="5000"/>
    <m/>
    <n v="103062.71"/>
    <x v="4"/>
    <x v="1"/>
    <x v="7"/>
    <n v="-5000"/>
    <x v="4"/>
    <n v="5000"/>
  </r>
  <r>
    <d v="2025-08-31T00:00:00"/>
    <s v=" WDL TFR   UPI/DR/387149855285/AFJALANS/YESB/Q841036483/P  aym   0097690162095 AT 01868 DIESEL LOCO WORKS(VARANASI)"/>
    <s v=""/>
    <n v="12"/>
    <m/>
    <n v="103050.71"/>
    <x v="4"/>
    <x v="1"/>
    <x v="3"/>
    <n v="-12"/>
    <x v="4"/>
    <n v="12"/>
  </r>
  <r>
    <d v="2025-09-01T00:00:00"/>
    <s v=" DEBIT   ACHDr YESB00709  000028661 TP ACH INDIANE"/>
    <s v=""/>
    <n v="2000"/>
    <m/>
    <n v="101050.71"/>
    <x v="5"/>
    <x v="1"/>
    <x v="1"/>
    <n v="-2000"/>
    <x v="5"/>
    <n v="2000"/>
  </r>
  <r>
    <d v="2025-09-01T00:00:00"/>
    <s v=" DEBIT   ACHDr YESB00709  000028661 TP ACH INDIANE"/>
    <s v=""/>
    <n v="5000"/>
    <m/>
    <n v="96050.71"/>
    <x v="5"/>
    <x v="1"/>
    <x v="1"/>
    <n v="-5000"/>
    <x v="5"/>
    <n v="5000"/>
  </r>
  <r>
    <d v="2025-09-01T00:00:00"/>
    <s v=" DEBIT   ACHDr YESB00709  000028661 TP ACH INDIANE"/>
    <s v=""/>
    <n v="2000"/>
    <m/>
    <n v="94050.71"/>
    <x v="5"/>
    <x v="1"/>
    <x v="1"/>
    <n v="-2000"/>
    <x v="5"/>
    <n v="2000"/>
  </r>
  <r>
    <d v="2025-09-01T00:00:00"/>
    <s v=" DEBIT   ACHDr YESB00709  000028661 TP ACH INDIANE"/>
    <s v=""/>
    <n v="2000"/>
    <m/>
    <n v="92050.71"/>
    <x v="5"/>
    <x v="1"/>
    <x v="1"/>
    <n v="-2000"/>
    <x v="5"/>
    <n v="2000"/>
  </r>
  <r>
    <d v="2025-09-01T00:00:00"/>
    <s v=" DEBIT   ACHDr YESB00709  000028661 TP ACH INDIANE"/>
    <s v=""/>
    <n v="3000"/>
    <m/>
    <n v="89050.71"/>
    <x v="5"/>
    <x v="1"/>
    <x v="1"/>
    <n v="-3000"/>
    <x v="5"/>
    <n v="3000"/>
  </r>
  <r>
    <d v="2025-09-01T00:00:00"/>
    <s v=" DEBIT   ACHDr YESB00709  000028661 TP ACH INDIANE"/>
    <s v=""/>
    <n v="5000"/>
    <m/>
    <n v="84050.71"/>
    <x v="5"/>
    <x v="1"/>
    <x v="1"/>
    <n v="-5000"/>
    <x v="5"/>
    <n v="5000"/>
  </r>
  <r>
    <d v="2025-09-01T00:00:00"/>
    <s v=" DIRECT DR   INT TRF FRM 10852263841 TO 43740432393   00437404323  93 OF Mr. ANOOP SINGH VATSA AT 01868 DIESEL LOCO WORKS(VARANASI)"/>
    <s v=""/>
    <n v="16159"/>
    <m/>
    <n v="67891.710000000006"/>
    <x v="5"/>
    <x v="1"/>
    <x v="1"/>
    <n v="-16159"/>
    <x v="5"/>
    <n v="16159"/>
  </r>
  <r>
    <d v="2025-09-01T00:00:00"/>
    <s v=" DEBIT   ACHDr NACH00  000000056369 ETMONEY"/>
    <s v=""/>
    <n v="1000"/>
    <m/>
    <n v="66891.710000000006"/>
    <x v="5"/>
    <x v="1"/>
    <x v="2"/>
    <n v="-1000"/>
    <x v="5"/>
    <n v="1000"/>
  </r>
  <r>
    <d v="2025-09-01T00:00:00"/>
    <s v=" WDL TFR   UPI/DR/130689013759/AFJALANS/YESB/Q841036483/P  aym   0097691162095 AT 01868 DIESEL LOCO WORKS(VARANASI)"/>
    <s v=""/>
    <n v="10"/>
    <m/>
    <n v="66881.710000000006"/>
    <x v="5"/>
    <x v="1"/>
    <x v="3"/>
    <n v="-10"/>
    <x v="5"/>
    <n v="10"/>
  </r>
  <r>
    <d v="2025-09-02T00:00:00"/>
    <s v=" DIRECT DR   0044198135955 OF Mr. ANOOP SING  H VATSA AT 01868 DIESEL LOCO WORKS(VARANASI)"/>
    <s v=""/>
    <n v="7717"/>
    <m/>
    <n v="59164.71"/>
    <x v="5"/>
    <x v="1"/>
    <x v="1"/>
    <n v="-7717"/>
    <x v="5"/>
    <n v="7717"/>
  </r>
  <r>
    <d v="2025-09-02T00:00:00"/>
    <s v=" DIRECT DR   0043745420032 OF Mr. ANOOP SING  H VATSA AT 01868 DIESEL LOCO WORKS(VARANASI)"/>
    <s v=""/>
    <n v="8704"/>
    <m/>
    <n v="50460.71"/>
    <x v="5"/>
    <x v="1"/>
    <x v="1"/>
    <n v="-8704"/>
    <x v="5"/>
    <n v="8704"/>
  </r>
  <r>
    <d v="2025-09-02T00:00:00"/>
    <s v=" DEBIT   ACHDr NACH00  000000056369 ETMONEY"/>
    <s v=""/>
    <n v="1500"/>
    <m/>
    <n v="48960.71"/>
    <x v="5"/>
    <x v="1"/>
    <x v="2"/>
    <n v="-1500"/>
    <x v="5"/>
    <n v="1500"/>
  </r>
  <r>
    <d v="2025-09-03T00:00:00"/>
    <s v=" DEBIT   ACHDr NACH00000  000021717 INSTITUTE FEE"/>
    <s v=""/>
    <n v="42956.15"/>
    <m/>
    <n v="6004.56"/>
    <x v="5"/>
    <x v="1"/>
    <x v="1"/>
    <n v="-42956.15"/>
    <x v="5"/>
    <n v="42956.15"/>
  </r>
  <r>
    <d v="2025-09-09T00:00:00"/>
    <s v=" DEP TFR   NEFT*CITI0100000*CITIN25622417488*FRANKLIN TEM  PLE   0099509044300 AT 01868 DIESEL LOCO WORKS(VARANASI)"/>
    <s v=""/>
    <m/>
    <n v="19420.8"/>
    <n v="25425.360000000001"/>
    <x v="5"/>
    <x v="0"/>
    <x v="6"/>
    <n v="19420.8"/>
    <x v="5"/>
    <n v="19420.8"/>
  </r>
  <r>
    <d v="2025-09-09T00:00:00"/>
    <s v=" DEP TFR   NEFT*CITI0100000*CITIN25622416112*FRANKLIN TEM  PLE   0099509044300 AT 01868 DIESEL LOCO WORKS(VARANASI)"/>
    <s v=""/>
    <m/>
    <n v="7824.11"/>
    <n v="33249.47"/>
    <x v="5"/>
    <x v="0"/>
    <x v="6"/>
    <n v="7824.11"/>
    <x v="5"/>
    <n v="7824.11"/>
  </r>
  <r>
    <d v="2025-09-09T00:00:00"/>
    <s v=" DIRECT DR   0043740438351 OF Mr. ANOOP SING  H VATSA AT 01868 DIESEL LOCO WORKS(VARANASI)"/>
    <s v=""/>
    <n v="6280"/>
    <m/>
    <n v="26969.47"/>
    <x v="5"/>
    <x v="1"/>
    <x v="1"/>
    <n v="-6280"/>
    <x v="5"/>
    <n v="6280"/>
  </r>
  <r>
    <d v="2025-09-09T00:00:00"/>
    <s v=" DEP TFR   NEFT*HDFC0000240*HDFCH00472651137*BAJAJ FLEXI   CAP   0099509044300 AT 01868 DIESEL LOCO WORKS(VARANASI)"/>
    <s v=""/>
    <m/>
    <n v="15995.5"/>
    <n v="42964.97"/>
    <x v="5"/>
    <x v="0"/>
    <x v="6"/>
    <n v="15995.5"/>
    <x v="5"/>
    <n v="15995.5"/>
  </r>
  <r>
    <d v="2025-09-09T00:00:00"/>
    <s v=" WDL TFR   UPI/DR/397869752525/Seekho/utib/seekhoswn./Man  dat   0097692162094 AT 01868 DIESEL LOCO WORKS(VARANASI)"/>
    <s v=""/>
    <n v="199"/>
    <m/>
    <n v="42765.97"/>
    <x v="5"/>
    <x v="1"/>
    <x v="3"/>
    <n v="-199"/>
    <x v="5"/>
    <n v="199"/>
  </r>
  <r>
    <d v="2025-09-09T00:00:00"/>
    <s v=" WDL TFR   UPI/DR/525200996150/Ketto On/YESB/paytm-8772/O  idO   0097692162094 AT 01868 DIESEL LOCO WORKS(VARANASI)"/>
    <s v=""/>
    <n v="50"/>
    <m/>
    <n v="42715.97"/>
    <x v="5"/>
    <x v="1"/>
    <x v="3"/>
    <n v="-50"/>
    <x v="5"/>
    <n v="50"/>
  </r>
  <r>
    <d v="2025-09-10T00:00:00"/>
    <s v=" DEP TFR   NEFT*UTIB0000004*AXISCN1078737760*AXIS MUTUAL   FUN   0099509044300 AT 01868 DIESEL LOCO WORKS(VARANASI)"/>
    <s v=""/>
    <m/>
    <n v="17509.62"/>
    <n v="60225.59"/>
    <x v="5"/>
    <x v="0"/>
    <x v="4"/>
    <n v="17509.62"/>
    <x v="5"/>
    <n v="17509.62"/>
  </r>
  <r>
    <d v="2025-09-10T00:00:00"/>
    <s v=" DEP TFR   NEFT*HDFC0000240*HDFCH00476311229*MIRAE ASSET   MF   0099509044300 AT 01868 DIESEL LOCO WORKS(VARANASI)"/>
    <s v=""/>
    <m/>
    <n v="19419.810000000001"/>
    <n v="79645.399999999994"/>
    <x v="5"/>
    <x v="0"/>
    <x v="6"/>
    <n v="19419.810000000001"/>
    <x v="5"/>
    <n v="19419.810000000001"/>
  </r>
  <r>
    <d v="2025-09-10T00:00:00"/>
    <s v=" WDL TFR   UPI/DR/301556990748/B N S EN/BARB/bnsenglish/V  eri   0097693162093 AT 01868 DIESEL LOCO WORKS(VARANASI)"/>
    <s v=""/>
    <n v="15650"/>
    <m/>
    <n v="63995.4"/>
    <x v="5"/>
    <x v="1"/>
    <x v="3"/>
    <n v="-15650"/>
    <x v="5"/>
    <n v="15650"/>
  </r>
  <r>
    <d v="2025-09-10T00:00:00"/>
    <s v=" WDL TFR   UPI/DR/017738500985/SURESH K/BARB/sureshkuma/P  aym   0097693162093 AT 01868 DIESEL LOCO WORKS(VARANASI)"/>
    <s v=""/>
    <n v="810"/>
    <m/>
    <n v="63185.4"/>
    <x v="5"/>
    <x v="1"/>
    <x v="3"/>
    <n v="-810"/>
    <x v="5"/>
    <n v="810"/>
  </r>
  <r>
    <d v="2025-09-10T00:00:00"/>
    <s v=" WDL TFR   UPI/DR/413773005032/SUMAN  S/SBIN/9005309797/P  aym   0097693162093 AT 01868 DIESEL LOCO WORKS(VARANASI)"/>
    <s v=""/>
    <n v="2337"/>
    <m/>
    <n v="60848.4"/>
    <x v="5"/>
    <x v="1"/>
    <x v="3"/>
    <n v="-2337"/>
    <x v="5"/>
    <n v="2337"/>
  </r>
  <r>
    <d v="2025-09-10T00:00:00"/>
    <s v=" ATM WDL   ATM CASH 3384           DLW VARANASI          VARAN"/>
    <s v=""/>
    <n v="20000"/>
    <m/>
    <n v="40848.400000000001"/>
    <x v="5"/>
    <x v="1"/>
    <x v="7"/>
    <n v="-20000"/>
    <x v="5"/>
    <n v="20000"/>
  </r>
  <r>
    <d v="2025-09-11T00:00:00"/>
    <s v=" WDL TFR   UPI/DR/860710898529/NALIN SI/DBSS/nalinbisen/P  aym   0097694162092 AT 01868 DIESEL LOCO WORKS(VARANASI)"/>
    <s v=""/>
    <n v="424"/>
    <m/>
    <n v="40424.400000000001"/>
    <x v="5"/>
    <x v="1"/>
    <x v="3"/>
    <n v="-424"/>
    <x v="5"/>
    <n v="424"/>
  </r>
  <r>
    <d v="2025-09-12T00:00:00"/>
    <s v=" DEP TFR   UPI/CR/690520835967/SANTOSH /SBIN/7752800899/S  ent   0097737162096 AT 01868 DIESEL LOCO WORKS(VARANASI)"/>
    <s v=""/>
    <m/>
    <n v="350"/>
    <n v="40774.400000000001"/>
    <x v="5"/>
    <x v="0"/>
    <x v="3"/>
    <n v="350"/>
    <x v="5"/>
    <n v="350"/>
  </r>
  <r>
    <d v="2025-09-12T00:00:00"/>
    <s v=" WDL TFR   UPI/DR/372983785565/SHASHI  /SBIN/9794864468/P  aym   0097695162091 AT 01868 DIESEL LOCO WORKS(VARANASI)"/>
    <s v=""/>
    <n v="350"/>
    <m/>
    <n v="40424.400000000001"/>
    <x v="5"/>
    <x v="1"/>
    <x v="3"/>
    <n v="-350"/>
    <x v="5"/>
    <n v="350"/>
  </r>
  <r>
    <d v="2025-09-12T00:00:00"/>
    <s v=" WDL TFR   UPI/DR/565269928067/AMWAY IN/KKBK/wl.amwayin/A  MWA   0097695162091 AT 01868 DIESEL LOCO WORKS(VARANASI)"/>
    <s v=""/>
    <n v="6154"/>
    <m/>
    <n v="34270.400000000001"/>
    <x v="5"/>
    <x v="1"/>
    <x v="3"/>
    <n v="-6154"/>
    <x v="5"/>
    <n v="6154"/>
  </r>
  <r>
    <d v="2025-09-12T00:00:00"/>
    <s v=" WDL TFR   UPI/DR/991621142624/Bank Acc/SBIN/3258418352/P  aym   0097695162091 AT 01868 DIESEL LOCO WORKS(VARANASI)"/>
    <s v=""/>
    <n v="8000"/>
    <m/>
    <n v="26270.400000000001"/>
    <x v="5"/>
    <x v="1"/>
    <x v="3"/>
    <n v="-8000"/>
    <x v="5"/>
    <n v="8000"/>
  </r>
  <r>
    <d v="2025-09-13T00:00:00"/>
    <s v=" WDL TFR   UPI/DR/560637361338/PIYUSH JHA/BARB/9682772204  /Pa   0097696162090 AT 01868 DIESEL LOCO WORKS(VARANASI)"/>
    <s v=""/>
    <n v="50"/>
    <m/>
    <n v="26220.400000000001"/>
    <x v="5"/>
    <x v="1"/>
    <x v="3"/>
    <n v="-50"/>
    <x v="5"/>
    <n v="50"/>
  </r>
  <r>
    <d v="2025-09-13T00:00:00"/>
    <s v=" WDL TFR   UPI/DR/618439807455/SURAJ PA/UBIN/pandeyyamr/P  aym   0097696162090 AT 01868 DIESEL LOCO WORKS(VARANASI)"/>
    <s v=""/>
    <n v="2728"/>
    <m/>
    <n v="23492.400000000001"/>
    <x v="5"/>
    <x v="1"/>
    <x v="3"/>
    <n v="-2728"/>
    <x v="5"/>
    <n v="2728"/>
  </r>
  <r>
    <d v="2025-09-15T00:00:00"/>
    <s v=" WDL TFR   UPI/DR/592457740865/AFJALANS/YESB/Q841036483/P  aym   0097691162095 AT 01868 DIESEL LOCO WORKS(VARANASI)"/>
    <s v=""/>
    <n v="11"/>
    <m/>
    <n v="23481.4"/>
    <x v="5"/>
    <x v="1"/>
    <x v="3"/>
    <n v="-11"/>
    <x v="5"/>
    <n v="11"/>
  </r>
  <r>
    <d v="2025-09-15T00:00:00"/>
    <s v=" WDL TFR   UPI/DR/200542856837/AFJALANS/YESB/Q841036483/P  aym   0097691162095 AT 01868 DIESEL LOCO WORKS(VARANASI)"/>
    <s v=""/>
    <n v="10"/>
    <m/>
    <n v="23471.4"/>
    <x v="5"/>
    <x v="1"/>
    <x v="3"/>
    <n v="-10"/>
    <x v="5"/>
    <n v="10"/>
  </r>
  <r>
    <d v="2025-09-16T00:00:00"/>
    <s v=" WDL TFR   UPI/DR/768409571903/VIJAY KU/BARB/9453149673/P  aym   0097692162094 AT 01868 DIESEL LOCO WORKS(VARANASI)"/>
    <s v=""/>
    <n v="50"/>
    <m/>
    <n v="23421.4"/>
    <x v="5"/>
    <x v="1"/>
    <x v="3"/>
    <n v="-50"/>
    <x v="5"/>
    <n v="50"/>
  </r>
  <r>
    <d v="2025-09-16T00:00:00"/>
    <s v=" WDL TFR   UPI/DR/504533884236/AFJALANS/YESB/Q841036483/P  aym   0097692162094 AT 01868 DIESEL LOCO WORKS(VARANASI)"/>
    <s v=""/>
    <n v="11"/>
    <m/>
    <n v="23410.400000000001"/>
    <x v="5"/>
    <x v="1"/>
    <x v="3"/>
    <n v="-11"/>
    <x v="5"/>
    <n v="11"/>
  </r>
  <r>
    <d v="2025-09-19T00:00:00"/>
    <s v=" WDL TFR   UPI/DR/897343530673/BPCL Ufi/YESB/paytmqr57h/P  aym   0097695162091 AT 01868 DIESEL LOCO WORKS(VARANASI)"/>
    <s v=""/>
    <n v="375"/>
    <m/>
    <n v="23035.4"/>
    <x v="5"/>
    <x v="1"/>
    <x v="3"/>
    <n v="-375"/>
    <x v="5"/>
    <n v="375"/>
  </r>
  <r>
    <d v="2025-09-19T00:00:00"/>
    <s v=" WDL TFR   UPI/DR/325860669073/AFJALANS/YESB/Q841036483/P  aym   0097695162091 AT 01868 DIESEL LOCO WORKS(VARANASI)"/>
    <s v=""/>
    <n v="10"/>
    <m/>
    <n v="23025.4"/>
    <x v="5"/>
    <x v="1"/>
    <x v="3"/>
    <n v="-10"/>
    <x v="5"/>
    <n v="10"/>
  </r>
  <r>
    <d v="2025-09-19T00:00:00"/>
    <s v=" WDL TFR   UPI/DR/949978945244/Rajan Ku/BARB/rajanvishw/P  aym   0097695162091 AT 01868 DIESEL LOCO WORKS(VARANASI)"/>
    <s v=""/>
    <n v="500"/>
    <m/>
    <n v="22525.4"/>
    <x v="5"/>
    <x v="1"/>
    <x v="3"/>
    <n v="-500"/>
    <x v="5"/>
    <n v="500"/>
  </r>
  <r>
    <d v="2025-09-20T00:00:00"/>
    <s v=" WDL TFR   UPI/DR/402663528645/GUFRAN A/YESB/paytmqr6n9/P  aym   0097696162090 AT 01868 DIESEL LOCO WORKS(VARANASI)"/>
    <s v=""/>
    <n v="70"/>
    <m/>
    <n v="22455.4"/>
    <x v="5"/>
    <x v="1"/>
    <x v="3"/>
    <n v="-70"/>
    <x v="5"/>
    <n v="70"/>
  </r>
  <r>
    <d v="2025-09-20T00:00:00"/>
    <s v=" WDL TFR   UPI/DR/957191350349/PRASANTA/SBIN/9794864418/P  aym   0097696162090 AT 01868 DIESEL LOCO WORKS(VARANASI)"/>
    <s v=""/>
    <n v="201"/>
    <m/>
    <n v="22254.400000000001"/>
    <x v="5"/>
    <x v="1"/>
    <x v="3"/>
    <n v="-201"/>
    <x v="5"/>
    <n v="201"/>
  </r>
  <r>
    <d v="2025-09-20T00:00:00"/>
    <s v=" WDL TFR   UPI/DR/443016162899/Airtel R/YESB/AIRTELPRED/P  aym   0097696162090 AT 01868 DIESEL LOCO WORKS(VARANASI)"/>
    <s v=""/>
    <n v="492"/>
    <m/>
    <n v="21762.400000000001"/>
    <x v="5"/>
    <x v="1"/>
    <x v="3"/>
    <n v="-492"/>
    <x v="5"/>
    <n v="492"/>
  </r>
  <r>
    <d v="2025-09-20T00:00:00"/>
    <s v=" WDL TFR   UPI/DR/356234871529/Bank Acc/UBIN/5694021300/P  aym   0097696162090 AT 01868 DIESEL LOCO WORKS(VARANASI)"/>
    <s v=""/>
    <n v="4050"/>
    <m/>
    <n v="17712.400000000001"/>
    <x v="5"/>
    <x v="1"/>
    <x v="3"/>
    <n v="-4050"/>
    <x v="5"/>
    <n v="4050"/>
  </r>
  <r>
    <d v="2025-09-21T00:00:00"/>
    <s v=" WDL TFR   UPI/DR/160783862481/ABHIROOP/YESB/Q136532793/P  aym   0097690162095 AT 01868 DIESEL LOCO WORKS(VARANASI)"/>
    <s v=""/>
    <n v="10"/>
    <m/>
    <n v="17702.400000000001"/>
    <x v="5"/>
    <x v="1"/>
    <x v="3"/>
    <n v="-10"/>
    <x v="5"/>
    <n v="10"/>
  </r>
  <r>
    <d v="2025-09-21T00:00:00"/>
    <s v=" WDL TFR   UPI/DR/118703828382/ALOK KUM/UBIN/6394031236/P  aym   0097690162095 AT 01868 DIESEL LOCO WORKS(VARANASI)"/>
    <s v=""/>
    <n v="6735"/>
    <m/>
    <n v="10967.4"/>
    <x v="5"/>
    <x v="1"/>
    <x v="3"/>
    <n v="-6735"/>
    <x v="5"/>
    <n v="6735"/>
  </r>
  <r>
    <d v="2025-09-21T00:00:00"/>
    <s v=" WDL TFR   UPI/DR/753717716776/AFJALANS/YESB/Q841036483/P  aym   0097690162095 AT 01868 DIESEL LOCO WORKS(VARANASI)"/>
    <s v=""/>
    <n v="11"/>
    <m/>
    <n v="10956.4"/>
    <x v="5"/>
    <x v="1"/>
    <x v="3"/>
    <n v="-11"/>
    <x v="5"/>
    <n v="11"/>
  </r>
  <r>
    <d v="2025-09-21T00:00:00"/>
    <s v=" WDL TFR   UPI/DR/291482586548/AFJALANS/YESB/Q841036483/P  aym   0097690162095 AT 01868 DIESEL LOCO WORKS(VARANASI)"/>
    <s v=""/>
    <n v="11"/>
    <m/>
    <n v="10945.4"/>
    <x v="5"/>
    <x v="1"/>
    <x v="3"/>
    <n v="-11"/>
    <x v="5"/>
    <n v="11"/>
  </r>
  <r>
    <d v="2025-09-24T00:00:00"/>
    <s v=" DEP TFR   P09250554BC0C IOCL LPG SUBSIDY IOAP34D     0097658105216 AT 01868 DIESEL LOCO WORKS(VARANASI)"/>
    <s v=""/>
    <m/>
    <n v="59.52"/>
    <n v="11004.92"/>
    <x v="5"/>
    <x v="0"/>
    <x v="6"/>
    <n v="59.52"/>
    <x v="5"/>
    <n v="59.52"/>
  </r>
  <r>
    <d v="2025-09-24T00:00:00"/>
    <s v=" WDL TFR   UPI/DR/755243161918/NARAYAN /SBIN/9794864570/P  aym   0097693162093 AT 01868 DIESEL LOCO WORKS(VARANASI)"/>
    <s v=""/>
    <n v="1100"/>
    <m/>
    <n v="9904.92"/>
    <x v="5"/>
    <x v="1"/>
    <x v="3"/>
    <n v="-1100"/>
    <x v="5"/>
    <n v="1100"/>
  </r>
  <r>
    <d v="2025-09-25T00:00:00"/>
    <s v=" INTERES  T CREDIT"/>
    <s v=""/>
    <m/>
    <n v="180"/>
    <n v="10084.92"/>
    <x v="5"/>
    <x v="0"/>
    <x v="6"/>
    <n v="180"/>
    <x v="5"/>
    <n v="180"/>
  </r>
  <r>
    <d v="2025-09-26T00:00:00"/>
    <s v=" CEMTEX DEP   DLWBO  NUS BILL OF FY 2425"/>
    <s v=""/>
    <m/>
    <n v="17951"/>
    <n v="28035.919999999998"/>
    <x v="5"/>
    <x v="0"/>
    <x v="0"/>
    <n v="17951"/>
    <x v="5"/>
    <n v="17951"/>
  </r>
  <r>
    <d v="2025-09-26T00:00:00"/>
    <s v=" CEMTEX DEP   Sa  lary of Sep 2025"/>
    <s v=""/>
    <m/>
    <n v="112523"/>
    <n v="140558.92000000001"/>
    <x v="5"/>
    <x v="0"/>
    <x v="0"/>
    <n v="112523"/>
    <x v="5"/>
    <n v="112523"/>
  </r>
  <r>
    <d v="2025-09-26T00:00:00"/>
    <s v=" WDL TFR   UPI/DR/400862508359/Amazon I/YESB/amazon@yap/  You   0097695162091 AT 01868 DIESEL LOCO WORKS(VARANASI)"/>
    <s v=""/>
    <n v="526.15"/>
    <m/>
    <n v="140032.76999999999"/>
    <x v="5"/>
    <x v="1"/>
    <x v="3"/>
    <n v="-526.15"/>
    <x v="5"/>
    <n v="526.15"/>
  </r>
  <r>
    <d v="2025-09-26T00:00:00"/>
    <s v=" WDL TFR   UPI/DR/157215285729/Bank Acc/UBIN/5694021300/P  aym   0097695162091 AT 01868 DIESEL LOCO WORKS(VARANASI)"/>
    <s v=""/>
    <n v="4200"/>
    <m/>
    <n v="135832.76999999999"/>
    <x v="5"/>
    <x v="1"/>
    <x v="3"/>
    <n v="-4200"/>
    <x v="5"/>
    <n v="4200"/>
  </r>
  <r>
    <d v="2025-09-27T00:00:00"/>
    <s v=" WDL TFR   UPI/DR/519802565019/SHAMBHAV/KKBK/7355395914/P  aym   0097696162090 AT 01868 DIESEL LOCO WORKS(VARANASI)"/>
    <s v=""/>
    <n v="20000"/>
    <m/>
    <n v="115832.77"/>
    <x v="5"/>
    <x v="1"/>
    <x v="3"/>
    <n v="-20000"/>
    <x v="5"/>
    <n v="20000"/>
  </r>
  <r>
    <d v="2025-09-27T00:00:00"/>
    <s v=" WDL TFR   UPI/DR/464806272182/SUMAN  S/SBIN/9005309797/P  aym   0097696162090 AT 01868 DIESEL LOCO WORKS(VARANASI)"/>
    <s v=""/>
    <n v="50000"/>
    <m/>
    <n v="65832.77"/>
    <x v="5"/>
    <x v="1"/>
    <x v="3"/>
    <n v="-50000"/>
    <x v="5"/>
    <n v="50000"/>
  </r>
  <r>
    <d v="2025-09-28T00:00:00"/>
    <s v=" WDL TFR   UPI/DR/182021274754/MANTU KU/IPOS/8540908423/P  aym   0097690162095 AT 01868 DIESEL LOCO WORKS(VARANASI)"/>
    <s v=""/>
    <n v="200"/>
    <m/>
    <n v="65632.77"/>
    <x v="5"/>
    <x v="1"/>
    <x v="3"/>
    <n v="-200"/>
    <x v="5"/>
    <n v="200"/>
  </r>
  <r>
    <d v="2025-09-28T00:00:00"/>
    <s v=" WDL TFR   UPI/DR/944107767207/Himanshu/YESB/paytmqr6jh/P  aym   0097690162095 AT 01868 DIESEL LOCO WORKS(VARANASI)"/>
    <s v=""/>
    <n v="295"/>
    <m/>
    <n v="65337.77"/>
    <x v="5"/>
    <x v="1"/>
    <x v="3"/>
    <n v="-295"/>
    <x v="5"/>
    <n v="295"/>
  </r>
  <r>
    <d v="2025-09-29T00:00:00"/>
    <s v=" WDL TFR   UPI/DR/740613571432/SEVEN TU/UTIB/seventurns/P  aym   0097691162095 AT 01868 DIESEL LOCO WORKS(VARANASI)"/>
    <s v=""/>
    <n v="1848"/>
    <m/>
    <n v="63489.77"/>
    <x v="5"/>
    <x v="1"/>
    <x v="3"/>
    <n v="-1848"/>
    <x v="5"/>
    <n v="1848"/>
  </r>
  <r>
    <d v="2025-09-29T00:00:00"/>
    <s v=" DEBIT   CMP MANDATE D  EBIT AXIS Mutual FUND"/>
    <s v=""/>
    <n v="1000"/>
    <m/>
    <n v="62489.77"/>
    <x v="5"/>
    <x v="1"/>
    <x v="6"/>
    <n v="-1000"/>
    <x v="5"/>
    <n v="1000"/>
  </r>
  <r>
    <d v="2025-09-30T00:00:00"/>
    <s v=" WDL TFR   UPI/DR/733869188585/AFJALANS/YESB/Q841036483/P  aym   0097692162094 AT 01868 DIESEL LOCO WORKS(VARANASI)"/>
    <s v=""/>
    <n v="30"/>
    <m/>
    <n v="62459.77"/>
    <x v="5"/>
    <x v="1"/>
    <x v="3"/>
    <n v="-30"/>
    <x v="5"/>
    <n v="30"/>
  </r>
  <r>
    <d v="2025-10-01T00:00:00"/>
    <s v=" DEBIT   ACHDr YESB00709  000028661 TP ACH INDIANE"/>
    <s v=""/>
    <n v="2000"/>
    <m/>
    <n v="60459.77"/>
    <x v="6"/>
    <x v="1"/>
    <x v="1"/>
    <n v="-2000"/>
    <x v="6"/>
    <n v="2000"/>
  </r>
  <r>
    <d v="2025-10-01T00:00:00"/>
    <s v=" DEBIT   ACHDr YESB00709  000028661 TP ACH INDIANE"/>
    <s v=""/>
    <n v="2000"/>
    <m/>
    <n v="58459.77"/>
    <x v="6"/>
    <x v="1"/>
    <x v="1"/>
    <n v="-2000"/>
    <x v="6"/>
    <n v="2000"/>
  </r>
  <r>
    <d v="2025-10-01T00:00:00"/>
    <s v=" DEBIT   ACHDr YESB00709  000028661 TP ACH INDIANE"/>
    <s v=""/>
    <n v="5000"/>
    <m/>
    <n v="53459.77"/>
    <x v="6"/>
    <x v="1"/>
    <x v="1"/>
    <n v="-5000"/>
    <x v="6"/>
    <n v="5000"/>
  </r>
  <r>
    <d v="2025-10-01T00:00:00"/>
    <s v=" DEBIT   ACHDr YESB00709  000028661 TP ACH INDIANE"/>
    <s v=""/>
    <n v="2000"/>
    <m/>
    <n v="51459.77"/>
    <x v="6"/>
    <x v="1"/>
    <x v="1"/>
    <n v="-2000"/>
    <x v="6"/>
    <n v="2000"/>
  </r>
  <r>
    <d v="2025-10-01T00:00:00"/>
    <s v=" DEBIT   ACHDr YESB00709  000028661 TP ACH INDIANE"/>
    <s v=""/>
    <n v="5000"/>
    <m/>
    <n v="46459.77"/>
    <x v="6"/>
    <x v="1"/>
    <x v="1"/>
    <n v="-5000"/>
    <x v="6"/>
    <n v="5000"/>
  </r>
  <r>
    <d v="2025-10-01T00:00:00"/>
    <s v=" DEBIT   ACHDr YESB00709  000028661 TP ACH INDIANE"/>
    <s v=""/>
    <n v="3000"/>
    <m/>
    <n v="43459.77"/>
    <x v="6"/>
    <x v="1"/>
    <x v="1"/>
    <n v="-3000"/>
    <x v="6"/>
    <n v="3000"/>
  </r>
  <r>
    <d v="2025-10-01T00:00:00"/>
    <s v=" DEBIT   ACHDr NACH00  000000056369 ETMONEY"/>
    <s v=""/>
    <n v="1000"/>
    <m/>
    <n v="42459.77"/>
    <x v="6"/>
    <x v="1"/>
    <x v="2"/>
    <n v="-1000"/>
    <x v="6"/>
    <n v="1000"/>
  </r>
  <r>
    <d v="2025-10-01T00:00:00"/>
    <s v=" DIRECT DR   INT TRF FRM 10852263841 TO 43740432393   00437404323  93 OF Mr. ANOOP SINGH VATSA AT 01868 DIESEL LOCO WORKS(VARANASI)"/>
    <s v=""/>
    <n v="15638"/>
    <m/>
    <n v="26821.77"/>
    <x v="6"/>
    <x v="1"/>
    <x v="1"/>
    <n v="-15638"/>
    <x v="6"/>
    <n v="15638"/>
  </r>
  <r>
    <d v="2025-10-02T00:00:00"/>
    <s v=" DIRECT DR   0044198135955 OF Mr. ANOOP SING  H VATSA AT 01868 DIESEL LOCO WORKS(VARANASI)"/>
    <s v=""/>
    <n v="7717"/>
    <m/>
    <n v="19104.77"/>
    <x v="6"/>
    <x v="1"/>
    <x v="1"/>
    <n v="-7717"/>
    <x v="6"/>
    <n v="7717"/>
  </r>
  <r>
    <d v="2025-10-02T00:00:00"/>
    <s v=" DIRECT DR   0043745420032 OF Mr. ANOOP SING  H VATSA AT 01868 DIESEL LOCO WORKS(VARANASI)"/>
    <s v=""/>
    <n v="8704"/>
    <m/>
    <n v="10400.77"/>
    <x v="6"/>
    <x v="1"/>
    <x v="1"/>
    <n v="-8704"/>
    <x v="6"/>
    <n v="8704"/>
  </r>
  <r>
    <d v="2025-10-02T00:00:00"/>
    <s v=" DEBIT   ACHDr NACH00  000000056369 ETMONEY"/>
    <s v=""/>
    <n v="1500"/>
    <m/>
    <n v="8900.77"/>
    <x v="6"/>
    <x v="1"/>
    <x v="2"/>
    <n v="-1500"/>
    <x v="6"/>
    <n v="1500"/>
  </r>
  <r>
    <d v="2025-10-02T00:00:00"/>
    <s v=" WDL TFR   UPI/DR/298797656819/Vishal Y/UTIB/gpay-11258/P  aym   0097694162092 AT 01868 DIESEL LOCO WORKS(VARANASI)"/>
    <s v=""/>
    <n v="900"/>
    <m/>
    <n v="8000.77"/>
    <x v="6"/>
    <x v="1"/>
    <x v="3"/>
    <n v="-900"/>
    <x v="6"/>
    <n v="900"/>
  </r>
  <r>
    <d v="2025-10-04T00:00:00"/>
    <s v=" DIRECT DR   0043740438351 OF Mr. ANOOP SING  H VATSA AT 01868 DIESEL LOCO WORKS(VARANASI)"/>
    <s v=""/>
    <n v="6280"/>
    <m/>
    <n v="1720.77"/>
    <x v="6"/>
    <x v="1"/>
    <x v="1"/>
    <n v="-6280"/>
    <x v="6"/>
    <n v="6280"/>
  </r>
  <r>
    <d v="2025-10-05T00:00:00"/>
    <s v=" WDL TFR   UPI/DR/527801431095/Ketto On/YESB/paytm-8772/O  idO   0097690162095 AT 01868 DIESEL LOCO WORKS(VARANASI)"/>
    <s v=""/>
    <n v="50"/>
    <m/>
    <n v="1670.77"/>
    <x v="6"/>
    <x v="1"/>
    <x v="3"/>
    <n v="-50"/>
    <x v="6"/>
    <n v="50"/>
  </r>
  <r>
    <d v="2025-10-06T00:00:00"/>
    <s v=" WDL TFR   UPI/DR/545296114964/AFJALANS/YESB/Q841036483/P  aym   0097691162095 AT 01868 DIESEL LOCO WORKS(VARANASI)"/>
    <s v=""/>
    <n v="10"/>
    <m/>
    <n v="1660.77"/>
    <x v="6"/>
    <x v="1"/>
    <x v="3"/>
    <n v="-10"/>
    <x v="6"/>
    <n v="10"/>
  </r>
  <r>
    <d v="2025-10-06T00:00:00"/>
    <s v=" WDL TFR   UPI/DR/903526879554/AFJALANS/YESB/Q841036483/P  aym   0097691162095 AT 01868 DIESEL LOCO WORKS(VARANASI)"/>
    <s v=""/>
    <n v="10"/>
    <m/>
    <n v="1650.77"/>
    <x v="6"/>
    <x v="1"/>
    <x v="3"/>
    <n v="-10"/>
    <x v="6"/>
    <n v="10"/>
  </r>
  <r>
    <d v="2025-10-07T00:00:00"/>
    <s v=" WDL TFR   UPI/DR/353881100749/AFJALANS/YESB/Q841036483/P  aym   0097692162094 AT 01868 DIESEL LOCO WORKS(VARANASI)"/>
    <s v=""/>
    <n v="10"/>
    <m/>
    <n v="1640.77"/>
    <x v="6"/>
    <x v="1"/>
    <x v="3"/>
    <n v="-10"/>
    <x v="6"/>
    <n v="10"/>
  </r>
  <r>
    <d v="2025-10-08T00:00:00"/>
    <s v=" WDL TFR   UPI/DR/423685612389/AFJALANS/YESB/Q841036483/P  aym   0097693162093 AT 01868 DIESEL LOCO WORKS(VARANASI)"/>
    <s v=""/>
    <n v="10"/>
    <m/>
    <n v="1630.77"/>
    <x v="6"/>
    <x v="1"/>
    <x v="3"/>
    <n v="-10"/>
    <x v="6"/>
    <n v="10"/>
  </r>
  <r>
    <d v="2025-10-09T00:00:00"/>
    <s v=" WDL TFR   UPI/DR/392816722825/Seekho/utib/seekhoswn./Man  dat   0097694162092 AT 01868 DIESEL LOCO WORKS(VARANASI)"/>
    <s v=""/>
    <n v="199"/>
    <m/>
    <n v="1431.77"/>
    <x v="6"/>
    <x v="1"/>
    <x v="3"/>
    <n v="-199"/>
    <x v="6"/>
    <n v="199"/>
  </r>
  <r>
    <d v="2025-10-09T00:00:00"/>
    <s v=" WDL TFR   UPI/DR/259415521871/AFJALANS/YESB/Q841036483/P  aym   0097694162092 AT 01868 DIESEL LOCO WORKS(VARANASI)"/>
    <s v=""/>
    <n v="10"/>
    <m/>
    <n v="1421.77"/>
    <x v="6"/>
    <x v="1"/>
    <x v="3"/>
    <n v="-10"/>
    <x v="6"/>
    <n v="10"/>
  </r>
  <r>
    <d v="2025-10-10T00:00:00"/>
    <s v=" WDL TFR   UPI/DR/038106381872/Raj Yadav/YESB/paytm.s170/  Pay   0097695162091 AT 01868 DIESEL LOCO WORKS(VARANASI)"/>
    <s v=""/>
    <n v="10"/>
    <m/>
    <n v="1411.77"/>
    <x v="6"/>
    <x v="1"/>
    <x v="3"/>
    <n v="-10"/>
    <x v="6"/>
    <n v="10"/>
  </r>
  <r>
    <d v="2025-10-11T00:00:00"/>
    <s v=" WDL TFR   UPI/DR/101682719873/FLIPKART/HDFC/flipkart.p/  Upi   0097696162090 AT 01868 DIESEL LOCO WORKS(VARANASI)"/>
    <s v=""/>
    <n v="211"/>
    <m/>
    <n v="1200.77"/>
    <x v="6"/>
    <x v="1"/>
    <x v="3"/>
    <n v="-211"/>
    <x v="6"/>
    <n v="211"/>
  </r>
  <r>
    <d v="2025-10-11T00:00:00"/>
    <s v=" WDL TFR   UPI/DR/101682751626/FLIPKART/HDFC/flipkart.p/  Upi   0097696162090 AT 01868 DIESEL LOCO WORKS(VARANASI)"/>
    <s v=""/>
    <n v="722"/>
    <m/>
    <n v="478.77"/>
    <x v="6"/>
    <x v="1"/>
    <x v="3"/>
    <n v="-722"/>
    <x v="6"/>
    <n v="722"/>
  </r>
  <r>
    <d v="2025-10-11T00:00:00"/>
    <s v=" WDL TFR   UPI/DR/966350971810/AFJALANS/YESB/Q841036483/P  aym   0097696162090 AT 01868 DIESEL LOCO WORKS(VARANASI)"/>
    <s v=""/>
    <n v="10"/>
    <m/>
    <n v="468.77"/>
    <x v="6"/>
    <x v="1"/>
    <x v="3"/>
    <n v="-10"/>
    <x v="6"/>
    <n v="10"/>
  </r>
  <r>
    <d v="2025-10-12T00:00:00"/>
    <s v=" WDL TFR   UPI/DR/747210116127/NALIN SI/DBSS/nalinbisen/P  aym   0097690162095 AT 01868 DIESEL LOCO WORKS(VARANASI)"/>
    <s v=""/>
    <n v="424"/>
    <m/>
    <n v="44.77"/>
    <x v="6"/>
    <x v="1"/>
    <x v="3"/>
    <n v="-424"/>
    <x v="6"/>
    <n v="424"/>
  </r>
  <r>
    <d v="2025-10-14T00:00:00"/>
    <s v=" DEP TFR   P10250347818B IOCL LPG SUBSIDY IOAP34D     0099971105217 AT 01868 DIESEL LOCO WORKS(VARANASI)"/>
    <s v=""/>
    <m/>
    <n v="59.52"/>
    <n v="104.29"/>
    <x v="6"/>
    <x v="0"/>
    <x v="6"/>
    <n v="59.52"/>
    <x v="6"/>
    <n v="59.52"/>
  </r>
  <r>
    <d v="2025-10-21T00:00:00"/>
    <s v=" DEP TFR   UPI/CR/529418074353/Mrs SARI/IDIB/saritasing/  UPI   0097734162099 AT 01868 DIESEL LOCO WORKS(VARANASI)"/>
    <s v=""/>
    <m/>
    <n v="7000"/>
    <n v="7104.29"/>
    <x v="6"/>
    <x v="0"/>
    <x v="3"/>
    <n v="7000"/>
    <x v="6"/>
    <n v="7000"/>
  </r>
  <r>
    <d v="2025-10-24T00:00:00"/>
    <s v=" CEMTEX DEP   Sa  lary of Oct 2025"/>
    <s v=""/>
    <m/>
    <n v="125379"/>
    <n v="132483.29"/>
    <x v="6"/>
    <x v="0"/>
    <x v="0"/>
    <n v="125379"/>
    <x v="6"/>
    <n v="125379"/>
  </r>
  <r>
    <d v="2025-10-28T00:00:00"/>
    <s v=" DEBIT   CMP MANDATE D  EBIT AXIS Mutual FUND"/>
    <s v=""/>
    <n v="1000"/>
    <m/>
    <n v="131483.29"/>
    <x v="6"/>
    <x v="1"/>
    <x v="6"/>
    <n v="-1000"/>
    <x v="6"/>
    <n v="1000"/>
  </r>
  <r>
    <d v="2025-11-01T00:00:00"/>
    <s v=" DEBIT   ACHDr NACH00  000000056369 ETMONEY"/>
    <s v=""/>
    <n v="1000"/>
    <m/>
    <n v="130483.29"/>
    <x v="7"/>
    <x v="1"/>
    <x v="2"/>
    <n v="-1000"/>
    <x v="7"/>
    <n v="1000"/>
  </r>
  <r>
    <d v="2025-11-01T00:00:00"/>
    <s v=" DIRECT DR   INT TRF FRM 10852263841 TO 43740432393   00437404323  93 OF Mr. ANOOP SINGH VATSA AT 01868 DIESEL LOCO WORKS(VARANASI)"/>
    <s v=""/>
    <n v="16159"/>
    <m/>
    <n v="114324.29"/>
    <x v="7"/>
    <x v="1"/>
    <x v="1"/>
    <n v="-16159"/>
    <x v="7"/>
    <n v="16159"/>
  </r>
  <r>
    <d v="2025-11-02T00:00:00"/>
    <s v=" DIRECT DR   0044198135955 OF Mr. ANOOP SING  H VATSA AT 01868 DIESEL LOCO WORKS(VARANASI)"/>
    <s v=""/>
    <n v="7717"/>
    <m/>
    <n v="106607.29"/>
    <x v="7"/>
    <x v="1"/>
    <x v="1"/>
    <n v="-7717"/>
    <x v="7"/>
    <n v="7717"/>
  </r>
  <r>
    <d v="2025-11-02T00:00:00"/>
    <s v=" DIRECT DR   0043745420032 OF Mr. ANOOP SING  H VATSA AT 01868 DIESEL LOCO WORKS(VARANASI)"/>
    <s v=""/>
    <n v="8704"/>
    <m/>
    <n v="97903.29"/>
    <x v="7"/>
    <x v="1"/>
    <x v="1"/>
    <n v="-8704"/>
    <x v="7"/>
    <n v="8704"/>
  </r>
  <r>
    <d v="2025-11-02T00:00:00"/>
    <s v=" DEBIT   ACHDr NACH00  000000056369 ETMONEY"/>
    <s v=""/>
    <n v="1500"/>
    <m/>
    <n v="96403.29"/>
    <x v="7"/>
    <x v="1"/>
    <x v="2"/>
    <n v="-1500"/>
    <x v="7"/>
    <n v="1500"/>
  </r>
  <r>
    <d v="2025-11-03T00:00:00"/>
    <s v=" DEBIT   ACHDr YESB00709  000028661 TP ACH INDIANE"/>
    <s v=""/>
    <n v="10000"/>
    <m/>
    <n v="86403.29"/>
    <x v="7"/>
    <x v="1"/>
    <x v="1"/>
    <n v="-10000"/>
    <x v="7"/>
    <n v="10000"/>
  </r>
  <r>
    <d v="2025-11-03T00:00:00"/>
    <s v=" DEBIT   ACHDr YESB00709  000028661 TP ACH INDIANE"/>
    <s v=""/>
    <n v="2000"/>
    <m/>
    <n v="84403.29"/>
    <x v="7"/>
    <x v="1"/>
    <x v="1"/>
    <n v="-2000"/>
    <x v="7"/>
    <n v="2000"/>
  </r>
  <r>
    <d v="2025-11-03T00:00:00"/>
    <s v=" DEBIT   ACHDr YESB00709  000028661 TP ACH INDIANE"/>
    <s v=""/>
    <n v="5000"/>
    <m/>
    <n v="79403.289999999994"/>
    <x v="7"/>
    <x v="1"/>
    <x v="1"/>
    <n v="-5000"/>
    <x v="7"/>
    <n v="5000"/>
  </r>
  <r>
    <d v="2025-11-03T00:00:00"/>
    <s v=" DEBIT   ACHDr YESB00709  000028661 TP ACH INDIANE"/>
    <s v=""/>
    <n v="2000"/>
    <m/>
    <n v="77403.289999999994"/>
    <x v="7"/>
    <x v="1"/>
    <x v="1"/>
    <n v="-2000"/>
    <x v="7"/>
    <n v="2000"/>
  </r>
  <r>
    <d v="2025-11-03T00:00:00"/>
    <s v=" DEBIT   ACHDr YESB00709  000028661 TP ACH INDIANE"/>
    <s v=""/>
    <n v="3000"/>
    <m/>
    <n v="74403.289999999994"/>
    <x v="7"/>
    <x v="1"/>
    <x v="1"/>
    <n v="-3000"/>
    <x v="7"/>
    <n v="3000"/>
  </r>
  <r>
    <d v="2025-11-03T00:00:00"/>
    <s v=" DEBIT   ACHDr YESB00709  000028661 TP ACH INDIANE"/>
    <s v=""/>
    <n v="2000"/>
    <m/>
    <n v="72403.289999999994"/>
    <x v="7"/>
    <x v="1"/>
    <x v="1"/>
    <n v="-2000"/>
    <x v="7"/>
    <n v="2000"/>
  </r>
  <r>
    <d v="2025-11-04T00:00:00"/>
    <s v=" DIRECT DR   0043740438351 OF Mr. ANOOP SING  H VATSA AT 01868 DIESEL LOCO WORKS(VARANASI)"/>
    <s v=""/>
    <n v="6280"/>
    <m/>
    <n v="66123.289999999994"/>
    <x v="7"/>
    <x v="1"/>
    <x v="1"/>
    <n v="-6280"/>
    <x v="7"/>
    <n v="6280"/>
  </r>
  <r>
    <d v="2025-11-05T00:00:00"/>
    <s v=" WDL TFR   UPI/DR/653511423298/SHAMBHAV/KKBK/7355395914/P  aym   0097693162093 AT 01868 DIESEL LOCO WORKS(VARANASI)"/>
    <s v=""/>
    <n v="15000"/>
    <m/>
    <n v="51123.29"/>
    <x v="7"/>
    <x v="1"/>
    <x v="3"/>
    <n v="-15000"/>
    <x v="7"/>
    <n v="15000"/>
  </r>
  <r>
    <d v="2025-11-05T00:00:00"/>
    <s v=" WDL TFR   UPI/DR/530906936532/Ketto On/YESB/paytm-8772/O  idO   0097693162093 AT 01868 DIESEL LOCO WORKS(VARANASI)"/>
    <s v=""/>
    <n v="50"/>
    <m/>
    <n v="51073.29"/>
    <x v="7"/>
    <x v="1"/>
    <x v="3"/>
    <n v="-50"/>
    <x v="7"/>
    <n v="50"/>
  </r>
  <r>
    <d v="2025-11-05T00:00:00"/>
    <s v=" WDL TFR   UPI/DR/755209340693/AMWAY IN/HSBC/amwayindia/P  aym   0097693162093 AT 01868 DIESEL LOCO WORKS(VARANASI)"/>
    <s v=""/>
    <n v="13809"/>
    <m/>
    <n v="37264.29"/>
    <x v="7"/>
    <x v="1"/>
    <x v="3"/>
    <n v="-13809"/>
    <x v="7"/>
    <n v="13809"/>
  </r>
  <r>
    <d v="2025-11-05T00:00:00"/>
    <s v=" WDL TFR   UPI/DR/498734642134/AMWAY IN/HSBC/Amwayindia/P  aym   0097693162093 AT 01868 DIESEL LOCO WORKS(VARANASI)"/>
    <s v=""/>
    <n v="1567"/>
    <m/>
    <n v="35697.29"/>
    <x v="7"/>
    <x v="1"/>
    <x v="3"/>
    <n v="-1567"/>
    <x v="7"/>
    <n v="1567"/>
  </r>
  <r>
    <d v="2025-11-05T00:00:00"/>
    <s v=" DEP TFR   UPI/CR/530951172668/BHUPENDR/SBIN/bhupendra./  UPI   0097735162098 AT 01868 DIESEL LOCO WORKS(VARANASI)"/>
    <s v=""/>
    <m/>
    <n v="4297"/>
    <n v="39994.29"/>
    <x v="7"/>
    <x v="0"/>
    <x v="3"/>
    <n v="4297"/>
    <x v="7"/>
    <n v="4297"/>
  </r>
  <r>
    <d v="2025-11-06T00:00:00"/>
    <s v=" WDL TFR   UPI/DR/757851744629/Mr Priy /IDIB/prsgzp001-/P  aym   0097694162092 AT 01868 DIESEL LOCO WORKS(VARANASI)"/>
    <s v=""/>
    <n v="1850"/>
    <m/>
    <n v="38144.29"/>
    <x v="7"/>
    <x v="1"/>
    <x v="3"/>
    <n v="-1850"/>
    <x v="7"/>
    <n v="1850"/>
  </r>
  <r>
    <d v="2025-11-07T00:00:00"/>
    <s v=" WDL TFR   UPI/DR/531101666166/Amazon I/YESB/amazon@yap/  You   0097695162091 AT 01868 DIESEL LOCO WORKS(VARANASI)"/>
    <s v=""/>
    <n v="1645.1"/>
    <m/>
    <n v="36499.19"/>
    <x v="7"/>
    <x v="1"/>
    <x v="3"/>
    <n v="-1645.1"/>
    <x v="7"/>
    <n v="1645.1"/>
  </r>
  <r>
    <d v="2025-11-08T00:00:00"/>
    <s v=" WDL TFR   UPI/DR/150085888590/SARITA  /UBIN/9454643975/P  aym   0097696162090 AT 01868 DIESEL LOCO WORKS(VARANASI)"/>
    <s v=""/>
    <n v="850"/>
    <m/>
    <n v="35649.19"/>
    <x v="7"/>
    <x v="1"/>
    <x v="3"/>
    <n v="-850"/>
    <x v="7"/>
    <n v="850"/>
  </r>
  <r>
    <d v="2025-11-09T00:00:00"/>
    <s v=" WDL TFR   UPI/DR/741194893135/Seekho/utib/seekhoswn./Man  dat   0097690162095 AT 01868 DIESEL LOCO WORKS(VARANASI)"/>
    <s v=""/>
    <n v="199"/>
    <m/>
    <n v="35450.19"/>
    <x v="7"/>
    <x v="1"/>
    <x v="3"/>
    <n v="-199"/>
    <x v="7"/>
    <n v="199"/>
  </r>
  <r>
    <d v="2025-11-09T00:00:00"/>
    <s v=" WDL TFR   UPI/DR/165026640346/Bank Acc/SBIN/3258418352/P  aym   0097690162095 AT 01868 DIESEL LOCO WORKS(VARANASI)"/>
    <s v=""/>
    <n v="4000"/>
    <m/>
    <n v="31450.19"/>
    <x v="7"/>
    <x v="1"/>
    <x v="3"/>
    <n v="-4000"/>
    <x v="7"/>
    <n v="4000"/>
  </r>
  <r>
    <d v="2025-11-11T00:00:00"/>
    <s v=" DEP TFR   P112502975A80 IOCL LPG SUBSIDY IOAP34D     0099992105212 AT 01868 DIESEL LOCO WORKS(VARANASI)"/>
    <s v=""/>
    <m/>
    <n v="59.52"/>
    <n v="31509.71"/>
    <x v="7"/>
    <x v="0"/>
    <x v="6"/>
    <n v="59.52"/>
    <x v="7"/>
    <n v="59.52"/>
  </r>
  <r>
    <d v="2025-11-12T00:00:00"/>
    <s v=" WDL TFR   UPI/DR/260471183113/NALIN SI/DBSS/nalinbisen/P  aym   0097693162093 AT 01868 DIESEL LOCO WORKS(VARANASI)"/>
    <s v=""/>
    <n v="424"/>
    <m/>
    <n v="31085.71"/>
    <x v="7"/>
    <x v="1"/>
    <x v="3"/>
    <n v="-424"/>
    <x v="7"/>
    <n v="424"/>
  </r>
  <r>
    <d v="2025-11-14T00:00:00"/>
    <s v=" WDL TFR   UPI/DR/531823745242/Amazon I/RATN/amazon@rap/  You   0097695162091 AT 01868 DIESEL LOCO WORKS(VARANASI)"/>
    <s v=""/>
    <n v="755"/>
    <m/>
    <n v="30330.71"/>
    <x v="7"/>
    <x v="1"/>
    <x v="3"/>
    <n v="-755"/>
    <x v="7"/>
    <n v="755"/>
  </r>
  <r>
    <d v="2025-11-15T00:00:00"/>
    <s v=" WDL TFR   UPI/DR/531964842929/Swiggy Ltd/UTIB/swiggyupi@  /re   0097696162090 AT 01868 DIESEL LOCO WORKS(VARANASI)"/>
    <s v=""/>
    <n v="249"/>
    <m/>
    <n v="30081.71"/>
    <x v="7"/>
    <x v="1"/>
    <x v="3"/>
    <n v="-249"/>
    <x v="7"/>
    <n v="249"/>
  </r>
  <r>
    <d v="2025-11-16T00:00:00"/>
    <s v=" WDL TFR   UPI/DR/784578212158/Anoop Va/IDFB/netc.34161/P  aym   0097690162095 AT 01868 DIESEL LOCO WORKS(VARANASI)"/>
    <s v=""/>
    <n v="200"/>
    <m/>
    <n v="29881.71"/>
    <x v="7"/>
    <x v="1"/>
    <x v="3"/>
    <n v="-200"/>
    <x v="7"/>
    <n v="200"/>
  </r>
  <r>
    <d v="2025-11-16T00:00:00"/>
    <s v=" WDL TFR   UPI/DR/631603099557/PhonePe/UTIB/BBPSBP@axl/Pa  yme   0097690162095 AT 01868 DIESEL LOCO WORKS(VARANASI)"/>
    <s v=""/>
    <n v="503"/>
    <m/>
    <n v="29378.71"/>
    <x v="7"/>
    <x v="1"/>
    <x v="3"/>
    <n v="-503"/>
    <x v="7"/>
    <n v="503"/>
  </r>
  <r>
    <d v="2025-11-27T00:00:00"/>
    <s v=" WDL TFR   UPI/DR/135152865070/Mr HIMAN/IDIB/himanshuku/P  aym   0097694162092 AT 01868 DIESEL LOCO WORKS(VARANASI)"/>
    <s v=""/>
    <n v="350"/>
    <m/>
    <n v="29028.71"/>
    <x v="7"/>
    <x v="1"/>
    <x v="3"/>
    <n v="-350"/>
    <x v="7"/>
    <n v="350"/>
  </r>
  <r>
    <d v="2025-11-27T00:00:00"/>
    <s v=" CEMTEX DEP   Sa  lary of Nov 2025"/>
    <s v=""/>
    <m/>
    <n v="109796"/>
    <n v="138824.71"/>
    <x v="7"/>
    <x v="0"/>
    <x v="0"/>
    <n v="109796"/>
    <x v="7"/>
    <n v="109796"/>
  </r>
  <r>
    <d v="2025-11-28T00:00:00"/>
    <s v=" DEBIT   CMP MANDATE D  EBIT AXIS Mutual FUND"/>
    <s v=""/>
    <n v="1000"/>
    <m/>
    <n v="137824.71"/>
    <x v="7"/>
    <x v="1"/>
    <x v="6"/>
    <n v="-1000"/>
    <x v="7"/>
    <n v="1000"/>
  </r>
  <r>
    <d v="2025-11-29T00:00:00"/>
    <s v=" WDL TFR   UPI/DR/056492330151/Mrs SARI/IDIB/saritasing/P  aym   0097696162090 AT 01868 DIESEL LOCO WORKS(VARANASI)"/>
    <s v=""/>
    <n v="2200"/>
    <m/>
    <n v="135624.71"/>
    <x v="7"/>
    <x v="1"/>
    <x v="3"/>
    <n v="-2200"/>
    <x v="7"/>
    <n v="2200"/>
  </r>
  <r>
    <d v="2025-11-30T00:00:00"/>
    <s v=" DEP TFR   0043740432393 OF Mr. ANOOP SINGH   VATSA AT 01868 DIESEL LOCO WORKS(VARANASI)"/>
    <s v=""/>
    <m/>
    <n v="1500000"/>
    <n v="1635624.71"/>
    <x v="7"/>
    <x v="0"/>
    <x v="9"/>
    <n v="1500000"/>
    <x v="7"/>
    <n v="1500000"/>
  </r>
  <r>
    <d v="2025-12-01T00:00:00"/>
    <s v=" DEBIT   ACHDr YESB00709  000028661 TP ACH INDIANE"/>
    <s v=""/>
    <n v="2000"/>
    <m/>
    <n v="1633624.71"/>
    <x v="8"/>
    <x v="1"/>
    <x v="1"/>
    <n v="-2000"/>
    <x v="8"/>
    <n v="2000"/>
  </r>
  <r>
    <d v="2025-12-01T00:00:00"/>
    <s v=" DEBIT   ACHDr YESB00709  000028661 TP ACH INDIANE"/>
    <s v=""/>
    <n v="2000"/>
    <m/>
    <n v="1631624.71"/>
    <x v="8"/>
    <x v="1"/>
    <x v="1"/>
    <n v="-2000"/>
    <x v="8"/>
    <n v="2000"/>
  </r>
  <r>
    <d v="2025-12-01T00:00:00"/>
    <s v=" DEBIT   ACHDr YESB00709  000028661 TP ACH INDIANE"/>
    <s v=""/>
    <n v="2000"/>
    <m/>
    <n v="1629624.71"/>
    <x v="8"/>
    <x v="1"/>
    <x v="1"/>
    <n v="-2000"/>
    <x v="8"/>
    <n v="2000"/>
  </r>
  <r>
    <d v="2025-12-01T00:00:00"/>
    <s v=" DEBIT   ACHDr YESB00709  000028661 TP ACH INDIANE"/>
    <s v=""/>
    <n v="3000"/>
    <m/>
    <n v="1626624.71"/>
    <x v="8"/>
    <x v="1"/>
    <x v="1"/>
    <n v="-3000"/>
    <x v="8"/>
    <n v="3000"/>
  </r>
  <r>
    <d v="2025-12-01T00:00:00"/>
    <s v=" DEBIT   ACHDr YESB00709  000028661 TP ACH INDIANE"/>
    <s v=""/>
    <n v="5000"/>
    <m/>
    <n v="1621624.71"/>
    <x v="8"/>
    <x v="1"/>
    <x v="1"/>
    <n v="-5000"/>
    <x v="8"/>
    <n v="5000"/>
  </r>
  <r>
    <d v="2025-12-01T00:00:00"/>
    <s v=" DEBIT   ACHDr NACH00  000000056369 ETMONEY"/>
    <s v=""/>
    <n v="1000"/>
    <m/>
    <n v="1620624.71"/>
    <x v="8"/>
    <x v="1"/>
    <x v="2"/>
    <n v="-1000"/>
    <x v="8"/>
    <n v="1000"/>
  </r>
  <r>
    <d v="2025-12-01T00:00:00"/>
    <s v=" DIRECT DR   INT TRF FRM 10852263841 TO 43740432393   00437404323  93 OF Mr. ANOOP SINGH VATSA AT 01868 DIESEL LOCO WORKS(VARANASI)"/>
    <s v=""/>
    <n v="15946"/>
    <m/>
    <n v="1604678.71"/>
    <x v="8"/>
    <x v="1"/>
    <x v="1"/>
    <n v="-15946"/>
    <x v="8"/>
    <n v="15946"/>
  </r>
  <r>
    <d v="2025-12-02T00:00:00"/>
    <s v=" DIRECT DR   0044198135955 OF Mr. ANOOP SING  H VATSA AT 01868 DIESEL LOCO WORKS(VARANASI)"/>
    <s v=""/>
    <n v="7717"/>
    <m/>
    <n v="1596961.71"/>
    <x v="8"/>
    <x v="1"/>
    <x v="1"/>
    <n v="-7717"/>
    <x v="8"/>
    <n v="7717"/>
  </r>
  <r>
    <d v="2025-12-02T00:00:00"/>
    <s v=" DIRECT DR   0043745420032 OF Mr. ANOOP SING  H VATSA AT 01868 DIESEL LOCO WORKS(VARANASI)"/>
    <s v=""/>
    <n v="8704"/>
    <m/>
    <n v="1588257.71"/>
    <x v="8"/>
    <x v="1"/>
    <x v="1"/>
    <n v="-8704"/>
    <x v="8"/>
    <n v="8704"/>
  </r>
  <r>
    <d v="2025-12-02T00:00:00"/>
    <s v=" DEBIT   ACHDr NACH00  000000056369 ETMONEY"/>
    <s v=""/>
    <n v="1500"/>
    <m/>
    <n v="1586757.71"/>
    <x v="8"/>
    <x v="1"/>
    <x v="2"/>
    <n v="-1500"/>
    <x v="8"/>
    <n v="1500"/>
  </r>
  <r>
    <d v="2025-12-03T00:00:00"/>
    <s v=" DEBIT   ACHDr YESB00709  000028661 TP ACH INDIANE"/>
    <s v=""/>
    <n v="10000"/>
    <m/>
    <n v="1576757.71"/>
    <x v="8"/>
    <x v="1"/>
    <x v="1"/>
    <n v="-10000"/>
    <x v="8"/>
    <n v="10000"/>
  </r>
  <r>
    <d v="2025-12-03T00:00:00"/>
    <s v=" DEP TFR   UPI/CR/981824616380/SUNITA S/PUNB/7379486325/P  aym   0097735162098 AT 01868 DIESEL LOCO WORKS(VARANASI)"/>
    <s v=""/>
    <m/>
    <n v="5000"/>
    <n v="1581757.71"/>
    <x v="8"/>
    <x v="0"/>
    <x v="3"/>
    <n v="5000"/>
    <x v="8"/>
    <n v="5000"/>
  </r>
  <r>
    <d v="2025-12-04T00:00:00"/>
    <s v=" DIRECT DR   0043740438351 OF Mr. ANOOP SING  H VATSA AT 01868 DIESEL LOCO WORKS(VARANASI)"/>
    <s v=""/>
    <n v="6280"/>
    <m/>
    <n v="1575477.71"/>
    <x v="8"/>
    <x v="1"/>
    <x v="1"/>
    <n v="-6280"/>
    <x v="8"/>
    <n v="6280"/>
  </r>
  <r>
    <d v="2025-12-04T00:00:00"/>
    <s v=" DEP TFR   P1225009A89C7 IOCL LPG SUBSIDY IOAP34D     0099970105217 AT 01868 DIESEL LOCO WORKS(VARANASI)"/>
    <s v=""/>
    <m/>
    <n v="59.52"/>
    <n v="1575537.23"/>
    <x v="8"/>
    <x v="0"/>
    <x v="6"/>
    <n v="59.52"/>
    <x v="8"/>
    <n v="59.52"/>
  </r>
  <r>
    <d v="2025-12-04T00:00:00"/>
    <s v=" WDL TFR   TR LOAN AC   0043740432393 OF Mr. ANOOP   SINGH VATSA AT 01868 DIESEL LOCO WORKS(VARANASI)"/>
    <s v=""/>
    <n v="17711"/>
    <m/>
    <n v="1557826.23"/>
    <x v="8"/>
    <x v="1"/>
    <x v="5"/>
    <n v="-17711"/>
    <x v="8"/>
    <n v="17711"/>
  </r>
  <r>
    <d v="2025-12-05T00:00:00"/>
    <s v=" WDL TFR   UPI/DR/408250790011/SHAMBHAV/KKBK/7355395914/P  aym   0097695162091 AT 01868 DIESEL LOCO WORKS(VARANASI)"/>
    <s v=""/>
    <n v="15000"/>
    <m/>
    <n v="1542826.23"/>
    <x v="8"/>
    <x v="1"/>
    <x v="3"/>
    <n v="-15000"/>
    <x v="8"/>
    <n v="15000"/>
  </r>
  <r>
    <d v="2025-12-05T00:00:00"/>
    <s v=" WDL TFR   UPI/DR/533904575693/Ketto On/YESB/paytm-8772/O  idO   0097695162091 AT 01868 DIESEL LOCO WORKS(VARANASI)"/>
    <s v=""/>
    <n v="50"/>
    <m/>
    <n v="1542776.23"/>
    <x v="8"/>
    <x v="1"/>
    <x v="3"/>
    <n v="-50"/>
    <x v="8"/>
    <n v="50"/>
  </r>
  <r>
    <d v="2025-12-07T00:00:00"/>
    <s v=" WDL TFR   UPI/DR/534113330953/U P Powe/AIRP/uppowercor/  Upi   0097690162095 AT 01868 DIESEL LOCO WORKS(VARANASI)"/>
    <s v=""/>
    <n v="6834"/>
    <m/>
    <n v="1535942.23"/>
    <x v="8"/>
    <x v="1"/>
    <x v="3"/>
    <n v="-6834"/>
    <x v="8"/>
    <n v="6834"/>
  </r>
  <r>
    <d v="2025-12-07T00:00:00"/>
    <s v=" WDL TFR   UPI/DR/296324612976/Blinkit/YESB/paytm-blin/Oi  dZT   0097690162095 AT 01868 DIESEL LOCO WORKS(VARANASI)"/>
    <s v=""/>
    <n v="370"/>
    <m/>
    <n v="1535572.23"/>
    <x v="8"/>
    <x v="1"/>
    <x v="3"/>
    <n v="-370"/>
    <x v="8"/>
    <n v="370"/>
  </r>
  <r>
    <d v="2025-12-07T00:00:00"/>
    <s v=" DEP TFR   UPI/CR/570706130377/Blinkit/YESB/paytm-blin/co  lle   0097732162091 AT 01868 DIESEL LOCO WORKS(VARANASI)"/>
    <s v=""/>
    <m/>
    <n v="370"/>
    <n v="1535942.23"/>
    <x v="8"/>
    <x v="0"/>
    <x v="3"/>
    <n v="370"/>
    <x v="8"/>
    <n v="370"/>
  </r>
  <r>
    <d v="2025-12-08T00:00:00"/>
    <s v=" WDL TFR   UPI/DR/845184501142/ANJANI F/YESB/paytmqr6fr/P  aym   0097691162095 AT 01868 DIESEL LOCO WORKS(VARANASI)"/>
    <s v=""/>
    <n v="1000"/>
    <m/>
    <n v="1534942.23"/>
    <x v="8"/>
    <x v="1"/>
    <x v="3"/>
    <n v="-1000"/>
    <x v="8"/>
    <n v="1000"/>
  </r>
  <r>
    <d v="2025-12-08T00:00:00"/>
    <s v=" WDL TFR   UPI/DR/707887395530/Zudio/UTIB/TRENTZUDIO/Paym  ent   0097691162095 AT 01868 DIESEL LOCO WORKS(VARANASI)"/>
    <s v=""/>
    <n v="1945"/>
    <m/>
    <n v="1532997.23"/>
    <x v="8"/>
    <x v="1"/>
    <x v="3"/>
    <n v="-1945"/>
    <x v="8"/>
    <n v="1945"/>
  </r>
  <r>
    <d v="2025-12-08T00:00:00"/>
    <s v=" WDL TFR   UPI/DR/398295363343/GIRDHAR /YESB/paytmqr5d4/P  aym   0097691162095 AT 01868 DIESEL LOCO WORKS(VARANASI)"/>
    <s v=""/>
    <n v="3300"/>
    <m/>
    <n v="1529697.23"/>
    <x v="8"/>
    <x v="1"/>
    <x v="3"/>
    <n v="-3300"/>
    <x v="8"/>
    <n v="3300"/>
  </r>
  <r>
    <d v="2025-12-08T00:00:00"/>
    <s v=" WDL TFR   UPI/DR/155615033029/MR VIPIN/ICIC/ibkPOS.EP1/P  aym   0097691162095 AT 01868 DIESEL LOCO WORKS(VARANASI)"/>
    <s v=""/>
    <n v="875"/>
    <m/>
    <n v="1528822.23"/>
    <x v="8"/>
    <x v="1"/>
    <x v="3"/>
    <n v="-875"/>
    <x v="8"/>
    <n v="875"/>
  </r>
  <r>
    <d v="2025-12-08T00:00:00"/>
    <s v=" WDL TFR   UPI/DR/366044141157/Bank Acc/SBIN/3258418352/P  aym   0097691162095 AT 01868 DIESEL LOCO WORKS(VARANASI)"/>
    <s v=""/>
    <n v="4000"/>
    <m/>
    <n v="1524822.23"/>
    <x v="8"/>
    <x v="1"/>
    <x v="3"/>
    <n v="-4000"/>
    <x v="8"/>
    <n v="4000"/>
  </r>
  <r>
    <d v="2025-12-08T00:00:00"/>
    <s v=" WDL TFR   UPI/DR/219813436274/SHAMBHAV/KKBK/7355395914/P  aym   0097691162095 AT 01868 DIESEL LOCO WORKS(VARANASI)"/>
    <s v=""/>
    <n v="1000"/>
    <m/>
    <n v="1523822.23"/>
    <x v="8"/>
    <x v="1"/>
    <x v="3"/>
    <n v="-1000"/>
    <x v="8"/>
    <n v="1000"/>
  </r>
  <r>
    <d v="2025-12-09T00:00:00"/>
    <s v=" WDL TFR   UPI/DR/365632323435/Seekho/utib/seekhoswn./Man  dat   0097692162094 AT 01868 DIESEL LOCO WORKS(VARANASI)"/>
    <s v=""/>
    <n v="199"/>
    <m/>
    <n v="1523623.23"/>
    <x v="8"/>
    <x v="1"/>
    <x v="3"/>
    <n v="-199"/>
    <x v="8"/>
    <n v="199"/>
  </r>
  <r>
    <d v="2025-12-10T00:00:00"/>
    <s v=" WDL TFR   UPI/DR/627683117173/RAVI SHA/UBIN/9889819995/P  aym   0097693162093 AT 01868 DIESEL LOCO WORKS(VARANASI)"/>
    <s v=""/>
    <n v="10000"/>
    <m/>
    <n v="1513623.23"/>
    <x v="8"/>
    <x v="1"/>
    <x v="3"/>
    <n v="-10000"/>
    <x v="8"/>
    <n v="10000"/>
  </r>
  <r>
    <d v="2025-12-11T00:00:00"/>
    <s v=" ATM WDL   ATM CASH 4081           DLW VARANASI          VARAN"/>
    <s v=""/>
    <n v="20000"/>
    <m/>
    <n v="1493623.23"/>
    <x v="8"/>
    <x v="1"/>
    <x v="7"/>
    <n v="-20000"/>
    <x v="8"/>
    <n v="20000"/>
  </r>
  <r>
    <d v="2025-12-11T00:00:00"/>
    <s v=" DEP TFR   P1225022B5F03 IOCL LPG SUBSIDY IOAP34D     0097729105217 AT 01868 DIESEL LOCO WORKS(VARANASI)"/>
    <s v=""/>
    <m/>
    <n v="59.52"/>
    <n v="1493682.75"/>
    <x v="8"/>
    <x v="0"/>
    <x v="6"/>
    <n v="59.52"/>
    <x v="8"/>
    <n v="59.52"/>
  </r>
  <r>
    <d v="2025-12-11T00:00:00"/>
    <s v=" WDL TFR   UPI/DR/557696573474/SIYARAM /YESB/paytm.s11j/P  aym   0097694162092 AT 01868 DIESEL LOCO WORKS(VARANASI)"/>
    <s v=""/>
    <n v="2600"/>
    <m/>
    <n v="1491082.75"/>
    <x v="8"/>
    <x v="1"/>
    <x v="3"/>
    <n v="-2600"/>
    <x v="8"/>
    <n v="2600"/>
  </r>
  <r>
    <d v="2025-12-12T00:00:00"/>
    <s v=" WDL TFR   UPI/DR/602149303146/NAJIYA B/FDRL/BHARATPE.9/  Pay   0097695162091 AT 01868 DIESEL LOCO WORKS(VARANASI)"/>
    <s v=""/>
    <n v="240"/>
    <m/>
    <n v="1490842.75"/>
    <x v="8"/>
    <x v="1"/>
    <x v="3"/>
    <n v="-240"/>
    <x v="8"/>
    <n v="240"/>
  </r>
  <r>
    <d v="2025-12-12T00:00:00"/>
    <s v=" WDL TFR   UPI/DR/521010558631/NEW PATE/YESB/q518401579/P  aym   0097695162091 AT 01868 DIESEL LOCO WORKS(VARANASI)"/>
    <s v=""/>
    <n v="10000"/>
    <m/>
    <n v="1480842.75"/>
    <x v="8"/>
    <x v="1"/>
    <x v="3"/>
    <n v="-10000"/>
    <x v="8"/>
    <n v="10000"/>
  </r>
  <r>
    <d v="2025-12-15T00:00:00"/>
    <s v=" WDL TFR   UPI/DR/193257055819/Khushi  /SBIN/9284977273/P  aym   0097691162095 AT 01868 DIESEL LOCO WORKS(VARANASI)"/>
    <s v=""/>
    <n v="100"/>
    <m/>
    <n v="1480742.75"/>
    <x v="8"/>
    <x v="1"/>
    <x v="3"/>
    <n v="-100"/>
    <x v="8"/>
    <n v="100"/>
  </r>
  <r>
    <d v="2025-12-15T00:00:00"/>
    <s v=" WDL TFR   UPI/DR/355716640273/NEW PATE/YESB/q027519700/P  aym   0097691162095 AT 01868 DIESEL LOCO WORKS(VARANASI)"/>
    <s v=""/>
    <n v="25000"/>
    <m/>
    <n v="1455742.75"/>
    <x v="8"/>
    <x v="1"/>
    <x v="3"/>
    <n v="-25000"/>
    <x v="8"/>
    <n v="25000"/>
  </r>
  <r>
    <d v="2025-12-17T00:00:00"/>
    <s v=" WDL TFR   UPI/DR/108113596327/DLW MAZD/SBIN/dlwmazdoor/P  aym   0097693162093 AT 01868 DIESEL LOCO WORKS(VARANASI)"/>
    <s v=""/>
    <n v="360"/>
    <m/>
    <n v="1455382.75"/>
    <x v="8"/>
    <x v="1"/>
    <x v="3"/>
    <n v="-360"/>
    <x v="8"/>
    <n v="360"/>
  </r>
  <r>
    <d v="2025-12-17T00:00:00"/>
    <s v=" WDL TFR   UPI/DR/646767085202/VISHAL B/YESB/paytm.s1h8/P  aym   0097693162093 AT 01868 DIESEL LOCO WORKS(VARANASI)"/>
    <s v=""/>
    <n v="10"/>
    <m/>
    <n v="1455372.75"/>
    <x v="8"/>
    <x v="1"/>
    <x v="3"/>
    <n v="-10"/>
    <x v="8"/>
    <n v="10"/>
  </r>
  <r>
    <d v="2025-12-18T00:00:00"/>
    <s v=" WDL TFR   UPI/DR/144625709699/NEW PATE/YESB/q027519700/P  aym   0097694162092 AT 01868 DIESEL LOCO WORKS(VARANASI)"/>
    <s v=""/>
    <n v="50000"/>
    <m/>
    <n v="1405372.75"/>
    <x v="8"/>
    <x v="1"/>
    <x v="3"/>
    <n v="-50000"/>
    <x v="8"/>
    <n v="50000"/>
  </r>
  <r>
    <d v="2025-12-18T00:00:00"/>
    <s v=" WDL TFR   UPI/DR/100233165206/RAJ KUMAR/YESB/paytm.s1qu/  Pay   0097694162092 AT 01868 DIESEL LOCO WORKS(VARANASI)"/>
    <s v=""/>
    <n v="10"/>
    <m/>
    <n v="1405362.75"/>
    <x v="8"/>
    <x v="1"/>
    <x v="3"/>
    <n v="-10"/>
    <x v="8"/>
    <n v="10"/>
  </r>
  <r>
    <d v="2025-12-19T00:00:00"/>
    <s v=" WDL TFR   UPI/DR/835084856690/Anil vis/YESB/Q309635023/P  aym   0097695162091 AT 01868 DIESEL LOCO WORKS(VARANASI)"/>
    <s v=""/>
    <n v="300"/>
    <m/>
    <n v="1405062.75"/>
    <x v="8"/>
    <x v="1"/>
    <x v="3"/>
    <n v="-300"/>
    <x v="8"/>
    <n v="300"/>
  </r>
  <r>
    <d v="2025-12-19T00:00:00"/>
    <s v=" WDL TFR   UPI/DR/476176724535/RAMLAKHA/YESB/paytmqr5jn/P  aym   0097695162091 AT 01868 DIESEL LOCO WORKS(VARANASI)"/>
    <s v=""/>
    <n v="370"/>
    <m/>
    <n v="1404692.75"/>
    <x v="8"/>
    <x v="1"/>
    <x v="3"/>
    <n v="-370"/>
    <x v="8"/>
    <n v="370"/>
  </r>
  <r>
    <d v="2025-12-19T00:00:00"/>
    <s v=" WDL TFR   UPI/DR/111112228651/Laxmi EL/UTIB/gpay-11200/P  aym   0097695162091 AT 01868 DIESEL LOCO WORKS(VARANASI)"/>
    <s v=""/>
    <n v="135"/>
    <m/>
    <n v="1404557.75"/>
    <x v="8"/>
    <x v="1"/>
    <x v="3"/>
    <n v="-135"/>
    <x v="8"/>
    <n v="135"/>
  </r>
  <r>
    <d v="2025-12-19T00:00:00"/>
    <s v=" WDL TFR   UPI/DR/058377459898/Laxmi EL/UTIB/gpay-11200/P  aym   0097695162091 AT 01868 DIESEL LOCO WORKS(VARANASI)"/>
    <s v=""/>
    <n v="280"/>
    <m/>
    <n v="1404277.75"/>
    <x v="8"/>
    <x v="1"/>
    <x v="3"/>
    <n v="-280"/>
    <x v="8"/>
    <n v="280"/>
  </r>
  <r>
    <d v="2025-12-19T00:00:00"/>
    <s v=" WDL TFR   UPI/DR/454084432686/SUMAN DEVI/YESB/paytmqr6dr  /Pa   0097695162091 AT 01868 DIESEL LOCO WORKS(VARANASI)"/>
    <s v=""/>
    <n v="10"/>
    <m/>
    <n v="1404267.75"/>
    <x v="8"/>
    <x v="1"/>
    <x v="3"/>
    <n v="-10"/>
    <x v="8"/>
    <n v="10"/>
  </r>
  <r>
    <d v="2025-12-19T00:00:00"/>
    <s v=" WDL TFR   UPI/DR/208412985002/AFJALANS/YESB/Q841036483/P  aym   0097695162091 AT 01868 DIESEL LOCO WORKS(VARANASI)"/>
    <s v=""/>
    <n v="10"/>
    <m/>
    <n v="1404257.75"/>
    <x v="8"/>
    <x v="1"/>
    <x v="3"/>
    <n v="-10"/>
    <x v="8"/>
    <n v="10"/>
  </r>
  <r>
    <d v="2025-12-20T00:00:00"/>
    <s v=" WDL TFR   UPI/DR/266196089030/NEW PATE/YESB/q027519700/P  aym   0097696162090 AT 01868 DIESEL LOCO WORKS(VARANASI)"/>
    <s v=""/>
    <n v="15000"/>
    <m/>
    <n v="1389257.75"/>
    <x v="8"/>
    <x v="1"/>
    <x v="3"/>
    <n v="-15000"/>
    <x v="8"/>
    <n v="15000"/>
  </r>
  <r>
    <d v="2025-12-20T00:00:00"/>
    <s v=" WDL TFR   UPI/DR/924676748818/Rehan  K/SBIN/rehankhant/P  aym   0097696162090 AT 01868 DIESEL LOCO WORKS(VARANASI)"/>
    <s v=""/>
    <n v="2000"/>
    <m/>
    <n v="1387257.75"/>
    <x v="8"/>
    <x v="1"/>
    <x v="3"/>
    <n v="-2000"/>
    <x v="8"/>
    <n v="2000"/>
  </r>
  <r>
    <d v="2025-12-20T00:00:00"/>
    <s v=" WDL TFR   UPI/DR/653103315307/RAJ KUMAR/YESB/paytm.s1qu/  Pay   0097696162090 AT 01868 DIESEL LOCO WORKS(VARANASI)"/>
    <s v=""/>
    <n v="10"/>
    <m/>
    <n v="1387247.75"/>
    <x v="8"/>
    <x v="1"/>
    <x v="3"/>
    <n v="-10"/>
    <x v="8"/>
    <n v="10"/>
  </r>
  <r>
    <d v="2025-12-21T00:00:00"/>
    <s v=" WDL TFR   UPI/DR/526555942997/BRIJESH /YESB/Q388579857/P  aym   0097690162095 AT 01868 DIESEL LOCO WORKS(VARANASI)"/>
    <s v=""/>
    <n v="300"/>
    <m/>
    <n v="1386947.75"/>
    <x v="8"/>
    <x v="1"/>
    <x v="3"/>
    <n v="-300"/>
    <x v="8"/>
    <n v="300"/>
  </r>
  <r>
    <d v="2025-12-21T00:00:00"/>
    <s v=" WDL TFR   UPI/DR/836909976583/NAJIYA B/FDRL/BHARATPE.9/  Pay   0097690162095 AT 01868 DIESEL LOCO WORKS(VARANASI)"/>
    <s v=""/>
    <n v="240"/>
    <m/>
    <n v="1386707.75"/>
    <x v="8"/>
    <x v="1"/>
    <x v="3"/>
    <n v="-240"/>
    <x v="8"/>
    <n v="240"/>
  </r>
  <r>
    <d v="2025-12-21T00:00:00"/>
    <s v=" WDL TFR   UPI/DR/877497210359/TYAGI ST/YESB/Q132781250/P  aym   0097690162095 AT 01868 DIESEL LOCO WORKS(VARANASI)"/>
    <s v=""/>
    <n v="190"/>
    <m/>
    <n v="1386517.75"/>
    <x v="8"/>
    <x v="1"/>
    <x v="3"/>
    <n v="-190"/>
    <x v="8"/>
    <n v="190"/>
  </r>
  <r>
    <d v="2025-12-22T00:00:00"/>
    <s v=" WDL TFR   UPI/DR/822704209166/AFJALANS/YESB/Q841036483/P  aym   0097691162095 AT 01868 DIESEL LOCO WORKS(VARANASI)"/>
    <s v=""/>
    <n v="11"/>
    <m/>
    <n v="1386506.75"/>
    <x v="8"/>
    <x v="1"/>
    <x v="3"/>
    <n v="-11"/>
    <x v="8"/>
    <n v="11"/>
  </r>
  <r>
    <d v="2025-12-22T00:00:00"/>
    <s v=" WDL TFR   UPI/DR/000867566980/TAUSIF S/HDFC/9454606649/P  aym   0097691162095 AT 01868 DIESEL LOCO WORKS(VARANASI)"/>
    <s v=""/>
    <n v="4300"/>
    <m/>
    <n v="1382206.75"/>
    <x v="8"/>
    <x v="1"/>
    <x v="3"/>
    <n v="-4300"/>
    <x v="8"/>
    <n v="4300"/>
  </r>
  <r>
    <d v="2025-12-22T00:00:00"/>
    <s v=" WDL TFR   UPI/DR/756151719090/RAJ KUMAR/YESB/paytm.s1qu/  Pay   0097691162095 AT 01868 DIESEL LOCO WORKS(VARANASI)"/>
    <s v=""/>
    <n v="10"/>
    <m/>
    <n v="1382196.75"/>
    <x v="8"/>
    <x v="1"/>
    <x v="3"/>
    <n v="-10"/>
    <x v="8"/>
    <n v="10"/>
  </r>
  <r>
    <d v="2025-12-23T00:00:00"/>
    <s v=" WDL TFR   UPI/DR/089296616543/NEW PATE/YESB/q027519700/P  aym   0097692162094 AT 01868 DIESEL LOCO WORKS(VARANASI)"/>
    <s v=""/>
    <n v="13150"/>
    <m/>
    <n v="1369046.75"/>
    <x v="8"/>
    <x v="1"/>
    <x v="3"/>
    <n v="-13150"/>
    <x v="8"/>
    <n v="13150"/>
  </r>
  <r>
    <d v="2025-12-23T00:00:00"/>
    <s v=" WDL TFR   UPI/DR/932972880336/VISHAL B/YESB/paytm.s1h8/P  aym   0097692162094 AT 01868 DIESEL LOCO WORKS(VARANASI)"/>
    <s v=""/>
    <n v="10"/>
    <m/>
    <n v="1369036.75"/>
    <x v="8"/>
    <x v="1"/>
    <x v="3"/>
    <n v="-10"/>
    <x v="8"/>
    <n v="10"/>
  </r>
  <r>
    <d v="2025-12-24T00:00:00"/>
    <s v=" WDL TFR   UPI/DR/551367632109/MS ROHIT/YESB/paytm.s1cp/P  aym   0097693162093 AT 01868 DIESEL LOCO WORKS(VARANASI)"/>
    <s v=""/>
    <n v="4250"/>
    <m/>
    <n v="1364786.75"/>
    <x v="8"/>
    <x v="1"/>
    <x v="3"/>
    <n v="-4250"/>
    <x v="8"/>
    <n v="4250"/>
  </r>
  <r>
    <d v="2025-12-24T00:00:00"/>
    <s v=" WDL TFR   UPI/DR/175642110431/AFJALANS/YESB/Q841036483/P  aym   0097693162093 AT 01868 DIESEL LOCO WORKS(VARANASI)"/>
    <s v=""/>
    <n v="11"/>
    <m/>
    <n v="1364775.75"/>
    <x v="8"/>
    <x v="1"/>
    <x v="3"/>
    <n v="-11"/>
    <x v="8"/>
    <n v="11"/>
  </r>
  <r>
    <d v="2025-12-24T00:00:00"/>
    <s v=" WDL TFR   UPI/DR/477441120820/SANGEET /SBIN/1085213443/P  aym   0097693162093 AT 01868 DIESEL LOCO WORKS(VARANASI)"/>
    <s v=""/>
    <n v="1225"/>
    <m/>
    <n v="1363550.75"/>
    <x v="8"/>
    <x v="1"/>
    <x v="3"/>
    <n v="-1225"/>
    <x v="8"/>
    <n v="1225"/>
  </r>
  <r>
    <d v="2025-12-25T00:00:00"/>
    <s v=" WDL TFR   UPI/DR/811796801423/KESHAVA /YESB/paytmqr5vc/P  aym   0097694162092 AT 01868 DIESEL LOCO WORKS(VARANASI)"/>
    <s v=""/>
    <n v="380"/>
    <m/>
    <n v="1363170.75"/>
    <x v="8"/>
    <x v="1"/>
    <x v="3"/>
    <n v="-380"/>
    <x v="8"/>
    <n v="380"/>
  </r>
  <r>
    <d v="2025-12-25T00:00:00"/>
    <s v=" WDL TFR   UPI/DR/477401790553/AFJALANS/YESB/Q841036483/P  aym   0097694162092 AT 01868 DIESEL LOCO WORKS(VARANASI)"/>
    <s v=""/>
    <n v="10"/>
    <m/>
    <n v="1363160.75"/>
    <x v="8"/>
    <x v="1"/>
    <x v="3"/>
    <n v="-10"/>
    <x v="8"/>
    <n v="10"/>
  </r>
  <r>
    <d v="2025-12-25T00:00:00"/>
    <s v=" WDL TFR   UPI/DR/620690623557/VISHAL B/YESB/paytm.s1h8/P  aym   0097694162092 AT 01868 DIESEL LOCO WORKS(VARANASI)"/>
    <s v=""/>
    <n v="10"/>
    <m/>
    <n v="1363150.75"/>
    <x v="8"/>
    <x v="1"/>
    <x v="3"/>
    <n v="-10"/>
    <x v="8"/>
    <n v="10"/>
  </r>
  <r>
    <d v="2025-12-25T00:00:00"/>
    <s v=" INTERES  T CREDIT"/>
    <s v=""/>
    <m/>
    <n v="2842"/>
    <n v="1365992.75"/>
    <x v="8"/>
    <x v="0"/>
    <x v="6"/>
    <n v="2842"/>
    <x v="8"/>
    <n v="2842"/>
  </r>
  <r>
    <d v="2025-12-26T00:00:00"/>
    <s v=" WDL TFR   UPI/DR/035497404344/AFJALANS/YESB/Q841036483/P  aym   0097695162091 AT 01868 DIESEL LOCO WORKS(VARANASI)"/>
    <s v=""/>
    <n v="10"/>
    <m/>
    <n v="1365982.75"/>
    <x v="8"/>
    <x v="1"/>
    <x v="3"/>
    <n v="-10"/>
    <x v="8"/>
    <n v="10"/>
  </r>
  <r>
    <d v="2025-12-26T00:00:00"/>
    <s v=" WDL TFR   UPI/DR/180511558548/VIVEK KU/ICIC/vivekupadh/P  aym   0097695162091 AT 01868 DIESEL LOCO WORKS(VARANASI)"/>
    <s v=""/>
    <n v="5270"/>
    <m/>
    <n v="1360712.75"/>
    <x v="8"/>
    <x v="1"/>
    <x v="3"/>
    <n v="-5270"/>
    <x v="8"/>
    <n v="5270"/>
  </r>
  <r>
    <d v="2025-12-26T00:00:00"/>
    <s v=" WDL TFR   UPI/DR/556624587391/ASHWANI /BARB/ashwaniwor/P  aym   0097695162091 AT 01868 DIESEL LOCO WORKS(VARANASI)"/>
    <s v=""/>
    <n v="2625"/>
    <m/>
    <n v="1358087.75"/>
    <x v="8"/>
    <x v="1"/>
    <x v="3"/>
    <n v="-2625"/>
    <x v="8"/>
    <n v="2625"/>
  </r>
  <r>
    <d v="2025-12-26T00:00:00"/>
    <s v=" WDL TFR   UPI/DR/909944765483/ALIGN AS/YESB/paytmqr1gf/P  aym   0097695162091 AT 01868 DIESEL LOCO WORKS(VARANASI)"/>
    <s v=""/>
    <n v="1000"/>
    <m/>
    <n v="1357087.75"/>
    <x v="8"/>
    <x v="1"/>
    <x v="3"/>
    <n v="-1000"/>
    <x v="8"/>
    <n v="1000"/>
  </r>
  <r>
    <d v="2025-12-26T00:00:00"/>
    <s v=" WDL TFR   UPI/DR/867209072929/ASHISH K/YESB/Q973506444/P  aym   0097695162091 AT 01868 DIESEL LOCO WORKS(VARANASI)"/>
    <s v=""/>
    <n v="10"/>
    <m/>
    <n v="1357077.75"/>
    <x v="8"/>
    <x v="1"/>
    <x v="3"/>
    <n v="-10"/>
    <x v="8"/>
    <n v="10"/>
  </r>
  <r>
    <d v="2025-12-27T00:00:00"/>
    <s v=" WDL TFR   UPI/DR/779084278857/SONU KUM/UNBA/BHARATPE.9/  Pay   0097696162090 AT 01868 DIESEL LOCO WORKS(VARANASI)"/>
    <s v=""/>
    <n v="10"/>
    <m/>
    <n v="1357067.75"/>
    <x v="8"/>
    <x v="1"/>
    <x v="3"/>
    <n v="-10"/>
    <x v="8"/>
    <n v="10"/>
  </r>
  <r>
    <d v="2025-12-27T00:00:00"/>
    <s v=" WDL TFR   UPI/DR/423507349881/TYAGI ST/YESB/Q132781250/P  aym   0097696162090 AT 01868 DIESEL LOCO WORKS(VARANASI)"/>
    <s v=""/>
    <n v="300"/>
    <m/>
    <n v="1356767.75"/>
    <x v="8"/>
    <x v="1"/>
    <x v="3"/>
    <n v="-300"/>
    <x v="8"/>
    <n v="300"/>
  </r>
  <r>
    <d v="2025-12-29T00:00:00"/>
    <s v=" DEBIT   CMP MANDATE D  EBIT AXIS Mutual FUND"/>
    <s v=""/>
    <n v="1000"/>
    <m/>
    <n v="1355767.75"/>
    <x v="8"/>
    <x v="1"/>
    <x v="6"/>
    <n v="-1000"/>
    <x v="8"/>
    <n v="1000"/>
  </r>
  <r>
    <d v="2025-12-29T00:00:00"/>
    <s v=" CEMTEX DEP   Sa  lary of Dec 2025"/>
    <s v=""/>
    <m/>
    <n v="114065"/>
    <n v="1469832.75"/>
    <x v="8"/>
    <x v="0"/>
    <x v="0"/>
    <n v="114065"/>
    <x v="8"/>
    <n v="114065"/>
  </r>
  <r>
    <d v="2025-12-29T00:00:00"/>
    <s v=" WDL TFR   UPI/DR/529762254685/AFJALANS/YESB/Q841036483/P  aym   0097691162095 AT 01868 DIESEL LOCO WORKS(VARANASI)"/>
    <s v=""/>
    <n v="10"/>
    <m/>
    <n v="1469822.75"/>
    <x v="8"/>
    <x v="1"/>
    <x v="3"/>
    <n v="-10"/>
    <x v="8"/>
    <n v="10"/>
  </r>
  <r>
    <d v="2025-12-29T00:00:00"/>
    <s v=" WDL TFR   UPI/DR/183536215581/Neelam/BARB/kumarajay3/Pay  men   0097691162095 AT 01868 DIESEL LOCO WORKS(VARANASI)"/>
    <s v=""/>
    <n v="1300"/>
    <m/>
    <n v="1468522.75"/>
    <x v="8"/>
    <x v="1"/>
    <x v="3"/>
    <n v="-1300"/>
    <x v="8"/>
    <n v="1300"/>
  </r>
  <r>
    <d v="2025-12-29T00:00:00"/>
    <s v=" WDL TFR   UPI/DR/317335095183/Raj Gene/UTIB/gpay-12190/P  aym   0097691162095 AT 01868 DIESEL LOCO WORKS(VARANASI)"/>
    <s v=""/>
    <n v="10"/>
    <m/>
    <n v="1468512.75"/>
    <x v="8"/>
    <x v="1"/>
    <x v="3"/>
    <n v="-10"/>
    <x v="8"/>
    <n v="10"/>
  </r>
  <r>
    <d v="2025-12-29T00:00:00"/>
    <s v=" WDL TFR   UPI/DR/880165882060/AJAD PRA/YESB/Q371268444/P  aym   0097691162095 AT 01868 DIESEL LOCO WORKS(VARANASI)"/>
    <s v=""/>
    <n v="40"/>
    <m/>
    <n v="1468472.75"/>
    <x v="8"/>
    <x v="1"/>
    <x v="3"/>
    <n v="-40"/>
    <x v="8"/>
    <n v="40"/>
  </r>
  <r>
    <d v="2025-12-29T00:00:00"/>
    <s v=" WDL TFR   UPI/DR/961536932689/MUNNALAL/YESB/paytm.s1qm/P  aym   0097691162095 AT 01868 DIESEL LOCO WORKS(VARANASI)"/>
    <s v=""/>
    <n v="380"/>
    <m/>
    <n v="1468092.75"/>
    <x v="8"/>
    <x v="1"/>
    <x v="3"/>
    <n v="-380"/>
    <x v="8"/>
    <n v="380"/>
  </r>
  <r>
    <d v="2025-12-29T00:00:00"/>
    <s v=" WDL TFR   UPI/DR/840582553022/MUNNALAL/YESB/paytm.s1qm/P  aym   0097691162095 AT 01868 DIESEL LOCO WORKS(VARANASI)"/>
    <s v=""/>
    <n v="70"/>
    <m/>
    <n v="1468022.75"/>
    <x v="8"/>
    <x v="1"/>
    <x v="3"/>
    <n v="-70"/>
    <x v="8"/>
    <n v="70"/>
  </r>
  <r>
    <d v="2025-12-29T00:00:00"/>
    <s v=" WDL TFR   UPI/DR/912929030350/DINESH  /YESB/Q131832956/P  aym   0097691162095 AT 01868 DIESEL LOCO WORKS(VARANASI)"/>
    <s v=""/>
    <n v="100"/>
    <m/>
    <n v="1467922.75"/>
    <x v="8"/>
    <x v="1"/>
    <x v="3"/>
    <n v="-100"/>
    <x v="8"/>
    <n v="100"/>
  </r>
  <r>
    <d v="2025-12-31T00:00:00"/>
    <s v=" WDL TFR   UPI/DR/358964589157/MONALISA/YESB/Q365057814/P  aym   0097693162093 AT 01868 DIESEL LOCO WORKS(VARANASI)"/>
    <s v=""/>
    <n v="1700"/>
    <m/>
    <n v="1466222.75"/>
    <x v="8"/>
    <x v="1"/>
    <x v="3"/>
    <n v="-1700"/>
    <x v="8"/>
    <n v="1700"/>
  </r>
  <r>
    <d v="2025-12-31T00:00:00"/>
    <s v=" WDL TFR   UPI/DR/681735656374/RAJ MOHA/YESB/Q790518478/P  aym   0097693162093 AT 01868 DIESEL LOCO WORKS(VARANASI)"/>
    <s v=""/>
    <n v="10"/>
    <m/>
    <n v="1466212.75"/>
    <x v="8"/>
    <x v="1"/>
    <x v="3"/>
    <n v="-10"/>
    <x v="8"/>
    <n v="10"/>
  </r>
  <r>
    <d v="2026-01-01T00:00:00"/>
    <s v=" DEBIT   ACHDr YESB00709  000028661 TP ACH INDIANE"/>
    <s v=""/>
    <n v="2000"/>
    <m/>
    <n v="1464212.75"/>
    <x v="9"/>
    <x v="1"/>
    <x v="1"/>
    <n v="-2000"/>
    <x v="9"/>
    <n v="2000"/>
  </r>
  <r>
    <d v="2026-01-01T00:00:00"/>
    <s v=" DEBIT   ACHDr YESB00709  000028661 TP ACH INDIANE"/>
    <s v=""/>
    <n v="3000"/>
    <m/>
    <n v="1461212.75"/>
    <x v="9"/>
    <x v="1"/>
    <x v="1"/>
    <n v="-3000"/>
    <x v="9"/>
    <n v="3000"/>
  </r>
  <r>
    <d v="2026-01-01T00:00:00"/>
    <s v=" DEBIT   ACHDr YESB00709  000028661 TP ACH INDIANE"/>
    <s v=""/>
    <n v="2000"/>
    <m/>
    <n v="1459212.75"/>
    <x v="9"/>
    <x v="1"/>
    <x v="1"/>
    <n v="-2000"/>
    <x v="9"/>
    <n v="2000"/>
  </r>
  <r>
    <d v="2026-01-01T00:00:00"/>
    <s v=" DEBIT   ACHDr YESB00709  000028661 TP ACH INDIANE"/>
    <s v=""/>
    <n v="2000"/>
    <m/>
    <n v="1457212.75"/>
    <x v="9"/>
    <x v="1"/>
    <x v="1"/>
    <n v="-2000"/>
    <x v="9"/>
    <n v="2000"/>
  </r>
  <r>
    <d v="2026-01-01T00:00:00"/>
    <s v=" DEBIT   ACHDr YESB00709  000028661 TP ACH INDIANE"/>
    <s v=""/>
    <n v="5000"/>
    <m/>
    <n v="1452212.75"/>
    <x v="9"/>
    <x v="1"/>
    <x v="1"/>
    <n v="-5000"/>
    <x v="9"/>
    <n v="5000"/>
  </r>
  <r>
    <d v="2026-01-01T00:00:00"/>
    <s v=" DEBIT   ACHDr NACH00  000000056369 ETMONEY"/>
    <s v=""/>
    <n v="1000"/>
    <m/>
    <n v="1451212.75"/>
    <x v="9"/>
    <x v="1"/>
    <x v="2"/>
    <n v="-1000"/>
    <x v="9"/>
    <n v="1000"/>
  </r>
  <r>
    <d v="2026-01-01T00:00:00"/>
    <s v=" DIRECT DR   INT TRF FRM 10852263841 TO 43740432393   00437404323  93 OF Mr. ANOOP SINGH VATSA AT 01868 DIESEL LOCO WORKS(VARANASI)"/>
    <s v=""/>
    <n v="25244"/>
    <m/>
    <n v="1425968.75"/>
    <x v="9"/>
    <x v="1"/>
    <x v="1"/>
    <n v="-25244"/>
    <x v="9"/>
    <n v="25244"/>
  </r>
  <r>
    <d v="2026-01-01T00:00:00"/>
    <s v=" WDL TFR   UPI/DR/386040126122/AFJALANS/YESB/Q841036483/P  aym   0097694162092 AT 01868 DIESEL LOCO WORKS(VARANASI)"/>
    <s v=""/>
    <n v="10"/>
    <m/>
    <n v="1425958.75"/>
    <x v="9"/>
    <x v="1"/>
    <x v="3"/>
    <n v="-10"/>
    <x v="9"/>
    <n v="10"/>
  </r>
  <r>
    <d v="2026-01-01T00:00:00"/>
    <s v=" WDL TFR   UPI/DR/151085337211/Monalisa/UTIB/gpay-11235/P  aym   0097694162092 AT 01868 DIESEL LOCO WORKS(VARANASI)"/>
    <s v=""/>
    <n v="480"/>
    <m/>
    <n v="1425478.75"/>
    <x v="9"/>
    <x v="1"/>
    <x v="3"/>
    <n v="-480"/>
    <x v="9"/>
    <n v="480"/>
  </r>
  <r>
    <d v="2026-01-02T00:00:00"/>
    <s v=" DIRECT DR   0044198135955 OF Mr. ANOOP SING  H VATSA AT 01868 DIESEL LOCO WORKS(VARANASI)"/>
    <s v=""/>
    <n v="7717"/>
    <m/>
    <n v="1417761.75"/>
    <x v="9"/>
    <x v="1"/>
    <x v="1"/>
    <n v="-7717"/>
    <x v="9"/>
    <n v="7717"/>
  </r>
  <r>
    <d v="2026-01-02T00:00:00"/>
    <s v=" DIRECT DR   0043745420032 OF Mr. ANOOP SING  H VATSA AT 01868 DIESEL LOCO WORKS(VARANASI)"/>
    <s v=""/>
    <n v="8704"/>
    <m/>
    <n v="1409057.75"/>
    <x v="9"/>
    <x v="1"/>
    <x v="1"/>
    <n v="-8704"/>
    <x v="9"/>
    <n v="8704"/>
  </r>
  <r>
    <d v="2026-01-02T00:00:00"/>
    <s v=" DEBIT   ACHDr NACH00  000000056369 ETMONEY"/>
    <s v=""/>
    <n v="1500"/>
    <m/>
    <n v="1407557.75"/>
    <x v="9"/>
    <x v="1"/>
    <x v="2"/>
    <n v="-1500"/>
    <x v="9"/>
    <n v="1500"/>
  </r>
  <r>
    <d v="2026-01-02T00:00:00"/>
    <s v=" WDL TFR   UPI/DR/435928633027/KESHAVA /YESB/paytmqr6rb/P  aym   0097695162091 AT 01868 DIESEL LOCO WORKS(VARANASI)"/>
    <s v=""/>
    <n v="300"/>
    <m/>
    <n v="1407257.75"/>
    <x v="9"/>
    <x v="1"/>
    <x v="3"/>
    <n v="-300"/>
    <x v="9"/>
    <n v="300"/>
  </r>
  <r>
    <d v="2026-01-02T00:00:00"/>
    <s v=" WDL TFR   UPI/DR/923699446010/AFJALANS/YESB/Q841036483/P  aym   0097695162091 AT 01868 DIESEL LOCO WORKS(VARANASI)"/>
    <s v=""/>
    <n v="10"/>
    <m/>
    <n v="1407247.75"/>
    <x v="9"/>
    <x v="1"/>
    <x v="3"/>
    <n v="-10"/>
    <x v="9"/>
    <n v="10"/>
  </r>
  <r>
    <d v="2026-01-02T00:00:00"/>
    <s v=" WDL TFR   UPI/DR/145771186907/Afjal An/YESB/paytmqr6ns/P  aym   0097695162091 AT 01868 DIESEL LOCO WORKS(VARANASI)"/>
    <s v=""/>
    <n v="11"/>
    <m/>
    <n v="1407236.75"/>
    <x v="9"/>
    <x v="1"/>
    <x v="3"/>
    <n v="-11"/>
    <x v="9"/>
    <n v="11"/>
  </r>
  <r>
    <d v="2026-01-02T00:00:00"/>
    <s v=" WDL TFR   UPI/DR/905578100874/SURESH K/BARB/sureshkuma/P  aym   0097695162091 AT 01868 DIESEL LOCO WORKS(VARANASI)"/>
    <s v=""/>
    <n v="1750"/>
    <m/>
    <n v="1405486.75"/>
    <x v="9"/>
    <x v="1"/>
    <x v="3"/>
    <n v="-1750"/>
    <x v="9"/>
    <n v="1750"/>
  </r>
  <r>
    <d v="2026-01-02T00:00:00"/>
    <s v=" WDL TFR   UPI/DR/195960382145/Raghuwar/YESB/paytm.s1zt/P  aym   0097695162091 AT 01868 DIESEL LOCO WORKS(VARANASI)"/>
    <s v=""/>
    <n v="20"/>
    <m/>
    <n v="1405466.75"/>
    <x v="9"/>
    <x v="1"/>
    <x v="3"/>
    <n v="-20"/>
    <x v="9"/>
    <n v="20"/>
  </r>
  <r>
    <d v="2026-01-02T00:00:00"/>
    <s v=" WDL TFR   UPI/DR/169600235871/Monalisa/YESB/paytmqr1kn/P  aym   0097695162091 AT 01868 DIESEL LOCO WORKS(VARANASI)"/>
    <s v=""/>
    <n v="200"/>
    <m/>
    <n v="1405266.75"/>
    <x v="9"/>
    <x v="1"/>
    <x v="3"/>
    <n v="-200"/>
    <x v="9"/>
    <n v="200"/>
  </r>
  <r>
    <d v="2026-01-03T00:00:00"/>
    <s v=" WDL TFR   UPI/DR/105421384473/RAJ KUMAR/YESB/paytm.s1qu/  Pay   0097696162090 AT 01868 DIESEL LOCO WORKS(VARANASI)"/>
    <s v=""/>
    <n v="10"/>
    <m/>
    <n v="1405256.75"/>
    <x v="9"/>
    <x v="1"/>
    <x v="3"/>
    <n v="-10"/>
    <x v="9"/>
    <n v="10"/>
  </r>
  <r>
    <d v="2026-01-04T00:00:00"/>
    <s v=" WDL TFR   UPI/DR/845687301177/SHAMBHAV/KKBK/7355395914/P  aym   0097696162090 AT 01868 DIESEL LOCO WORKS(VARANASI)"/>
    <s v=""/>
    <n v="15000"/>
    <m/>
    <n v="1390256.75"/>
    <x v="9"/>
    <x v="1"/>
    <x v="3"/>
    <n v="-15000"/>
    <x v="9"/>
    <n v="15000"/>
  </r>
  <r>
    <d v="2026-01-04T00:00:00"/>
    <s v=" DIRECT DR   0043740438351 OF Mr. ANOOP SING  H VATSA AT 01868 DIESEL LOCO WORKS(VARANASI)"/>
    <s v=""/>
    <n v="6280"/>
    <m/>
    <n v="1383976.75"/>
    <x v="9"/>
    <x v="1"/>
    <x v="1"/>
    <n v="-6280"/>
    <x v="9"/>
    <n v="6280"/>
  </r>
  <r>
    <d v="2026-01-04T00:00:00"/>
    <s v=" WDL TFR   UPI/DR/044284696525/SHRI NIV/UBIN/shrinivas./P  aym   0097690162095 AT 01868 DIESEL LOCO WORKS(VARANASI)"/>
    <s v=""/>
    <n v="1150"/>
    <m/>
    <n v="1382826.75"/>
    <x v="9"/>
    <x v="1"/>
    <x v="3"/>
    <n v="-1150"/>
    <x v="9"/>
    <n v="1150"/>
  </r>
  <r>
    <d v="2026-01-05T00:00:00"/>
    <s v=" DEBIT   ACHDr YESB00709  000028661 TP ACH INDIANE"/>
    <s v=""/>
    <n v="10000"/>
    <m/>
    <n v="1372826.75"/>
    <x v="9"/>
    <x v="1"/>
    <x v="1"/>
    <n v="-10000"/>
    <x v="9"/>
    <n v="10000"/>
  </r>
  <r>
    <d v="2026-01-05T00:00:00"/>
    <s v=" WDL TFR   UPI/DR/600505931460/Ketto On/YESB/paytm-8772/O  idO   0097691162095 AT 01868 DIESEL LOCO WORKS(VARANASI)"/>
    <s v=""/>
    <n v="50"/>
    <m/>
    <n v="1372776.75"/>
    <x v="9"/>
    <x v="1"/>
    <x v="3"/>
    <n v="-50"/>
    <x v="9"/>
    <n v="50"/>
  </r>
  <r>
    <d v="2026-01-08T00:00:00"/>
    <s v=" WDL TFR   UPI/DR/756334780556/SHAMBHAV/KKBK/7355395914/P  aym   0097694162092 AT 01868 DIESEL LOCO WORKS(VARANASI)"/>
    <s v=""/>
    <n v="8100"/>
    <m/>
    <n v="1364676.75"/>
    <x v="9"/>
    <x v="1"/>
    <x v="3"/>
    <n v="-8100"/>
    <x v="9"/>
    <n v="8100"/>
  </r>
  <r>
    <d v="2026-01-08T00:00:00"/>
    <s v=" WDL TFR   UPI/DR/588025755376/RAJ KUMAR/YESB/paytm.s1qu/  Pay   0097694162092 AT 01868 DIESEL LOCO WORKS(VARANASI)"/>
    <s v=""/>
    <n v="10"/>
    <m/>
    <n v="1364666.75"/>
    <x v="9"/>
    <x v="1"/>
    <x v="3"/>
    <n v="-10"/>
    <x v="9"/>
    <n v="10"/>
  </r>
  <r>
    <d v="2026-01-09T00:00:00"/>
    <s v=" WDL TFR   UPI/DR/715397432897/Surendra/YESB/paytmqr5gs/P  aym   0097691162095 AT 01868 DIESEL LOCO WORKS(VARANASI)"/>
    <s v=""/>
    <n v="120"/>
    <m/>
    <n v="1364546.75"/>
    <x v="9"/>
    <x v="1"/>
    <x v="3"/>
    <n v="-120"/>
    <x v="9"/>
    <n v="120"/>
  </r>
  <r>
    <d v="2026-01-10T00:00:00"/>
    <s v=" WDL TFR   UPI/DR/125429429332/Bank Acc/SBIN/3258418352/P  aym   0097695162091 AT 01868 DIESEL LOCO WORKS(VARANASI)"/>
    <s v=""/>
    <n v="4000"/>
    <m/>
    <n v="1360546.75"/>
    <x v="9"/>
    <x v="1"/>
    <x v="3"/>
    <n v="-4000"/>
    <x v="9"/>
    <n v="4000"/>
  </r>
  <r>
    <d v="2026-01-10T00:00:00"/>
    <s v=" ATM WDL   ATM CASH 8913           DLW VARANASI          VARAN"/>
    <s v=""/>
    <n v="20000"/>
    <m/>
    <n v="1340546.75"/>
    <x v="9"/>
    <x v="1"/>
    <x v="7"/>
    <n v="-20000"/>
    <x v="9"/>
    <n v="20000"/>
  </r>
  <r>
    <d v="2026-01-10T00:00:00"/>
    <s v=" WDL TFR   UPI/DR/664331992511/BOOK PAL/YESB/paytm.s17n/P  aym   0097695162091 AT 01868 DIESEL LOCO WORKS(VARANASI)"/>
    <s v=""/>
    <n v="1520"/>
    <m/>
    <n v="1339026.75"/>
    <x v="9"/>
    <x v="1"/>
    <x v="3"/>
    <n v="-1520"/>
    <x v="9"/>
    <n v="1520"/>
  </r>
  <r>
    <d v="2026-01-11T00:00:00"/>
    <s v=" WDL TFR   UPI/DR/232116500116/Seekho/utib/seekhoswn./Man  dat   0097696162090 AT 01868 DIESEL LOCO WORKS(VARANASI)"/>
    <s v=""/>
    <n v="199"/>
    <m/>
    <n v="1338827.75"/>
    <x v="9"/>
    <x v="1"/>
    <x v="3"/>
    <n v="-199"/>
    <x v="9"/>
    <n v="199"/>
  </r>
  <r>
    <d v="2026-01-11T00:00:00"/>
    <s v=" WDL TFR   UPI/DR/159559495121/BRIJESH /YESB/Q388579857/P  aym   0097696162090 AT 01868 DIESEL LOCO WORKS(VARANASI)"/>
    <s v=""/>
    <n v="800"/>
    <m/>
    <n v="1338027.75"/>
    <x v="9"/>
    <x v="1"/>
    <x v="3"/>
    <n v="-800"/>
    <x v="9"/>
    <n v="800"/>
  </r>
  <r>
    <d v="2026-01-12T00:00:00"/>
    <s v=" WDL TFR   UPI/DR/647964429906/NALIN SI/DBSS/nalinbisen/P  aym   0097690162095 AT 01868 DIESEL LOCO WORKS(VARANASI)"/>
    <s v=""/>
    <n v="424"/>
    <m/>
    <n v="1337603.75"/>
    <x v="9"/>
    <x v="1"/>
    <x v="3"/>
    <n v="-424"/>
    <x v="9"/>
    <n v="424"/>
  </r>
  <r>
    <d v="2026-01-12T00:00:00"/>
    <s v=" WDL TFR   UPI/DR/323564835223/IRSHAD K/YESB/Q633864714/P  aym   0097690162095 AT 01868 DIESEL LOCO WORKS(VARANASI)"/>
    <s v=""/>
    <n v="1700"/>
    <m/>
    <n v="1335903.75"/>
    <x v="9"/>
    <x v="1"/>
    <x v="3"/>
    <n v="-1700"/>
    <x v="9"/>
    <n v="1700"/>
  </r>
  <r>
    <d v="2026-01-13T00:00:00"/>
    <s v=" WDL TFR   UPI/DR/771151692342/Khushi  /SBIN/9284977273/P  aym   0097691162095 AT 01868 DIESEL LOCO WORKS(VARANASI)"/>
    <s v=""/>
    <n v="300"/>
    <m/>
    <n v="1335603.75"/>
    <x v="9"/>
    <x v="1"/>
    <x v="3"/>
    <n v="-300"/>
    <x v="9"/>
    <n v="300"/>
  </r>
  <r>
    <d v="2026-01-13T00:00:00"/>
    <s v=" WDL TFR   UPI/DR/865186959116/Monalisa/UTIB/gpay-11235/P  aym   0097691162095 AT 01868 DIESEL LOCO WORKS(VARANASI)"/>
    <s v=""/>
    <n v="1500"/>
    <m/>
    <n v="1334103.75"/>
    <x v="9"/>
    <x v="1"/>
    <x v="3"/>
    <n v="-1500"/>
    <x v="9"/>
    <n v="1500"/>
  </r>
  <r>
    <d v="2026-01-16T00:00:00"/>
    <s v=" WDL TFR   UPI/DR/650081174435/ALIGN AS/YESB/paytmqr1gf/P  aym   0097694162092 AT 01868 DIESEL LOCO WORKS(VARANASI)"/>
    <s v=""/>
    <n v="26000"/>
    <m/>
    <n v="1308103.75"/>
    <x v="9"/>
    <x v="1"/>
    <x v="3"/>
    <n v="-26000"/>
    <x v="9"/>
    <n v="26000"/>
  </r>
  <r>
    <d v="2026-01-16T00:00:00"/>
    <s v=" WDL TFR   UPI/DR/066718579987/RAJ KUMAR/YESB/paytm.s1qu/  Pay   0097694162092 AT 01868 DIESEL LOCO WORKS(VARANASI)"/>
    <s v=""/>
    <n v="12"/>
    <m/>
    <n v="1308091.75"/>
    <x v="9"/>
    <x v="1"/>
    <x v="3"/>
    <n v="-12"/>
    <x v="9"/>
    <n v="12"/>
  </r>
  <r>
    <d v="2026-01-16T00:00:00"/>
    <s v=" WDL TFR   UPI/DR/432936303012/Rehan  K/SBIN/rehankhant/P  aym   0097694162092 AT 01868 DIESEL LOCO WORKS(VARANASI)"/>
    <s v=""/>
    <n v="500"/>
    <m/>
    <n v="1307591.75"/>
    <x v="9"/>
    <x v="1"/>
    <x v="3"/>
    <n v="-500"/>
    <x v="9"/>
    <n v="500"/>
  </r>
  <r>
    <d v="2026-01-17T00:00:00"/>
    <s v=" WDL TFR   UPI/DR/300613923035/Afjal An/YESB/paytmqr6ns/P  aym   0097695162091 AT 01868 DIESEL LOCO WORKS(VARANASI)"/>
    <s v=""/>
    <n v="11"/>
    <m/>
    <n v="1307580.75"/>
    <x v="9"/>
    <x v="1"/>
    <x v="3"/>
    <n v="-11"/>
    <x v="9"/>
    <n v="11"/>
  </r>
  <r>
    <d v="2026-01-17T00:00:00"/>
    <s v=" WDL TFR   UPI/DR/842264844318/BOOK PAL/YESB/paytm.s17n/P  aym   0097695162091 AT 01868 DIESEL LOCO WORKS(VARANASI)"/>
    <s v=""/>
    <n v="870"/>
    <m/>
    <n v="1306710.75"/>
    <x v="9"/>
    <x v="1"/>
    <x v="3"/>
    <n v="-870"/>
    <x v="9"/>
    <n v="870"/>
  </r>
  <r>
    <d v="2026-01-18T00:00:00"/>
    <s v=" ATM WDL   ATM CASH 955            DLW VARANASI          VARAN"/>
    <s v=""/>
    <n v="9000"/>
    <m/>
    <n v="1297710.75"/>
    <x v="9"/>
    <x v="1"/>
    <x v="7"/>
    <n v="-9000"/>
    <x v="9"/>
    <n v="9000"/>
  </r>
  <r>
    <d v="2026-01-18T00:00:00"/>
    <s v=" WDL TFR   UPI/DR/985877452701/Rehan  K/SBIN/rehankhant/P  aym   0097696162090 AT 01868 DIESEL LOCO WORKS(VARANASI)"/>
    <s v=""/>
    <n v="16500"/>
    <m/>
    <n v="1281210.75"/>
    <x v="9"/>
    <x v="1"/>
    <x v="3"/>
    <n v="-16500"/>
    <x v="9"/>
    <n v="16500"/>
  </r>
  <r>
    <d v="2026-01-19T00:00:00"/>
    <s v=" WDL TFR   UPI/DR/931478399639/Rehan  K/SBIN/rehankhant/P  aym   0097690162095 AT 01868 DIESEL LOCO WORKS(VARANASI)"/>
    <s v=""/>
    <n v="2000"/>
    <m/>
    <n v="1279210.75"/>
    <x v="9"/>
    <x v="1"/>
    <x v="3"/>
    <n v="-2000"/>
    <x v="9"/>
    <n v="2000"/>
  </r>
  <r>
    <d v="2026-01-20T00:00:00"/>
    <s v=" WDL TFR   UPI/DR/983631959047/KESHAVA /YESB/paytmqr6rb/P  aym   0097691162095 AT 01868 DIESEL LOCO WORKS(VARANASI)"/>
    <s v=""/>
    <n v="350"/>
    <m/>
    <n v="1278860.75"/>
    <x v="9"/>
    <x v="1"/>
    <x v="3"/>
    <n v="-350"/>
    <x v="9"/>
    <n v="350"/>
  </r>
  <r>
    <d v="2026-01-20T00:00:00"/>
    <s v=" WDL TFR   UPI/DR/709809345567/Afjal An/YESB/paytmqr6ns/P  aym   0097691162095 AT 01868 DIESEL LOCO WORKS(VARANASI)"/>
    <s v=""/>
    <n v="12"/>
    <m/>
    <n v="1278848.75"/>
    <x v="9"/>
    <x v="1"/>
    <x v="3"/>
    <n v="-12"/>
    <x v="9"/>
    <n v="12"/>
  </r>
  <r>
    <d v="2026-01-20T00:00:00"/>
    <s v=" WDL TFR   UPI/DR/600325058141/RAJ KUMAR/YESB/paytm.s1qu/  Pay   0097691162095 AT 01868 DIESEL LOCO WORKS(VARANASI)"/>
    <s v=""/>
    <n v="12"/>
    <m/>
    <n v="1278836.75"/>
    <x v="9"/>
    <x v="1"/>
    <x v="3"/>
    <n v="-12"/>
    <x v="9"/>
    <n v="12"/>
  </r>
  <r>
    <d v="2026-01-21T00:00:00"/>
    <s v=" WDL TFR   UPI/DR/550351195309/Afjal An/YESB/paytmqr6ns/P  aym   0097692162094 AT 01868 DIESEL LOCO WORKS(VARANASI)"/>
    <s v=""/>
    <n v="11"/>
    <m/>
    <n v="1278825.75"/>
    <x v="9"/>
    <x v="1"/>
    <x v="3"/>
    <n v="-11"/>
    <x v="9"/>
    <n v="11"/>
  </r>
  <r>
    <d v="2026-01-21T00:00:00"/>
    <s v=" WDL TFR   UPI/DR/186606842831/Mohit  S/SBIN/6393236355/P  aym   0097692162094 AT 01868 DIESEL LOCO WORKS(VARANASI)"/>
    <s v=""/>
    <n v="730"/>
    <m/>
    <n v="1278095.75"/>
    <x v="9"/>
    <x v="1"/>
    <x v="3"/>
    <n v="-730"/>
    <x v="9"/>
    <n v="730"/>
  </r>
  <r>
    <d v="2026-01-22T00:00:00"/>
    <s v=" WDL TFR   UPI/DR/739179594293/Afjal An/YESB/paytmqr6ns/P  aym   0097693162093 AT 01868 DIESEL LOCO WORKS(VARANASI)"/>
    <s v=""/>
    <n v="11"/>
    <m/>
    <n v="1278084.75"/>
    <x v="9"/>
    <x v="1"/>
    <x v="3"/>
    <n v="-11"/>
    <x v="9"/>
    <n v="11"/>
  </r>
  <r>
    <d v="2026-01-22T00:00:00"/>
    <s v=" WDL TFR   UPI/DR/433409295679/RAJ KUMAR/YESB/paytm.s1qu/  Pay   0097693162093 AT 01868 DIESEL LOCO WORKS(VARANASI)"/>
    <s v=""/>
    <n v="13"/>
    <m/>
    <n v="1278071.75"/>
    <x v="9"/>
    <x v="1"/>
    <x v="3"/>
    <n v="-13"/>
    <x v="9"/>
    <n v="13"/>
  </r>
  <r>
    <d v="2026-01-23T00:00:00"/>
    <s v=" WDL TFR   UPI/DR/859913122489/GUFRAN A/YESB/paytmqr6k3/P  aym   0097694162092 AT 01868 DIESEL LOCO WORKS(VARANASI)"/>
    <s v=""/>
    <n v="70"/>
    <m/>
    <n v="1278001.75"/>
    <x v="9"/>
    <x v="1"/>
    <x v="3"/>
    <n v="-70"/>
    <x v="9"/>
    <n v="70"/>
  </r>
  <r>
    <d v="2026-01-25T00:00:00"/>
    <s v=" DEP TFR   UPI/CR/117668194821/SUBHASHC/HDFC/subhashsha/s  ala   0097738162095 AT 01868 DIESEL LOCO WORKS(VARANASI)"/>
    <s v=""/>
    <m/>
    <n v="5000"/>
    <n v="1283001.75"/>
    <x v="9"/>
    <x v="0"/>
    <x v="3"/>
    <n v="5000"/>
    <x v="9"/>
    <n v="5000"/>
  </r>
  <r>
    <d v="2026-01-25T00:00:00"/>
    <s v=" ATM WDL   ATM CASH 4860           DLW VARANASI          VARAN"/>
    <s v=""/>
    <n v="20000"/>
    <m/>
    <n v="1263001.75"/>
    <x v="9"/>
    <x v="1"/>
    <x v="7"/>
    <n v="-20000"/>
    <x v="9"/>
    <n v="20000"/>
  </r>
  <r>
    <d v="2026-01-27T00:00:00"/>
    <s v=" CEMTEX DEP   Sa  lary of Jan 2026"/>
    <s v=""/>
    <m/>
    <n v="116002"/>
    <n v="1379003.75"/>
    <x v="9"/>
    <x v="0"/>
    <x v="0"/>
    <n v="116002"/>
    <x v="9"/>
    <n v="116002"/>
  </r>
  <r>
    <d v="2026-01-28T00:00:00"/>
    <s v=" DEBIT   CMP MANDATE D  EBIT AXIS Mutual FUND"/>
    <s v=""/>
    <n v="1000"/>
    <m/>
    <n v="1378003.75"/>
    <x v="9"/>
    <x v="1"/>
    <x v="6"/>
    <n v="-1000"/>
    <x v="9"/>
    <n v="1000"/>
  </r>
  <r>
    <d v="2026-01-30T00:00:00"/>
    <s v=" WDL TFR   UPI/DR/691956922733/BOOK PAL/YESB/paytm.s17n/P  aym   0097694162092 AT 01868 DIESEL LOCO WORKS(VARANASI)"/>
    <s v=""/>
    <n v="995"/>
    <m/>
    <n v="1377008.75"/>
    <x v="9"/>
    <x v="1"/>
    <x v="3"/>
    <n v="-995"/>
    <x v="9"/>
    <n v="995"/>
  </r>
  <r>
    <d v="2026-01-31T00:00:00"/>
    <s v=" WDL TFR   UPI/DR/154809678752/MONALISA/YESB/Q365057814/P  aym   0097695162091 AT 01868 DIESEL LOCO WORKS(VARANASI)"/>
    <s v=""/>
    <n v="850"/>
    <m/>
    <n v="1376158.75"/>
    <x v="9"/>
    <x v="1"/>
    <x v="3"/>
    <n v="-850"/>
    <x v="9"/>
    <n v="850"/>
  </r>
  <r>
    <d v="2026-02-01T00:00:00"/>
    <s v=" DEBIT   ACHDr NACH00  000000056369 ETMONEY"/>
    <s v=""/>
    <n v="1000"/>
    <m/>
    <n v="1375158.75"/>
    <x v="10"/>
    <x v="1"/>
    <x v="2"/>
    <n v="-1000"/>
    <x v="10"/>
    <n v="1000"/>
  </r>
  <r>
    <d v="2026-02-01T00:00:00"/>
    <s v=" WDL TFR   UPI/DR/744975062843/SHAMBHAV/KKBK/7355395914/P  aym   0097696162090 AT 01868 DIESEL LOCO WORKS(VARANASI)"/>
    <s v=""/>
    <n v="10000"/>
    <m/>
    <n v="1365158.75"/>
    <x v="10"/>
    <x v="1"/>
    <x v="3"/>
    <n v="-10000"/>
    <x v="10"/>
    <n v="10000"/>
  </r>
  <r>
    <d v="2026-02-01T00:00:00"/>
    <s v=" WDL TFR   UPI/DR/771260774623/ASHOK KU/YESB/Q233179303/P  aym   0097696162090 AT 01868 DIESEL LOCO WORKS(VARANASI)"/>
    <s v=""/>
    <n v="400"/>
    <m/>
    <n v="1364758.75"/>
    <x v="10"/>
    <x v="1"/>
    <x v="3"/>
    <n v="-400"/>
    <x v="10"/>
    <n v="400"/>
  </r>
  <r>
    <d v="2026-02-02T00:00:00"/>
    <s v=" DEBIT   ACHDr YESB00709  000028661 TP ACH INDIANE"/>
    <s v=""/>
    <n v="2000"/>
    <m/>
    <n v="1362758.75"/>
    <x v="10"/>
    <x v="1"/>
    <x v="1"/>
    <n v="-2000"/>
    <x v="10"/>
    <n v="2000"/>
  </r>
  <r>
    <d v="2026-02-02T00:00:00"/>
    <s v=" DEBIT   ACHDr YESB00709  000028661 TP ACH INDIANE"/>
    <s v=""/>
    <n v="3000"/>
    <m/>
    <n v="1359758.75"/>
    <x v="10"/>
    <x v="1"/>
    <x v="1"/>
    <n v="-3000"/>
    <x v="10"/>
    <n v="3000"/>
  </r>
  <r>
    <d v="2026-02-02T00:00:00"/>
    <s v=" DEBIT   ACHDr YESB00709  000028661 TP ACH INDIANE"/>
    <s v=""/>
    <n v="2000"/>
    <m/>
    <n v="1357758.75"/>
    <x v="10"/>
    <x v="1"/>
    <x v="1"/>
    <n v="-2000"/>
    <x v="10"/>
    <n v="2000"/>
  </r>
  <r>
    <d v="2026-02-02T00:00:00"/>
    <s v=" DEBIT   ACHDr YESB00709  000028661 TP ACH INDIANE"/>
    <s v=""/>
    <n v="5000"/>
    <m/>
    <n v="1352758.75"/>
    <x v="10"/>
    <x v="1"/>
    <x v="1"/>
    <n v="-5000"/>
    <x v="10"/>
    <n v="5000"/>
  </r>
  <r>
    <d v="2026-02-02T00:00:00"/>
    <s v=" DEBIT   ACHDr YESB00709  000028661 TP ACH INDIANE"/>
    <s v=""/>
    <n v="2000"/>
    <m/>
    <n v="1350758.75"/>
    <x v="10"/>
    <x v="1"/>
    <x v="1"/>
    <n v="-2000"/>
    <x v="10"/>
    <n v="2000"/>
  </r>
  <r>
    <d v="2026-02-02T00:00:00"/>
    <s v=" DIRECT DR   0044198135955 OF Mr. ANOOP SING  H VATSA AT 01868 DIESEL LOCO WORKS(VARANASI)"/>
    <s v=""/>
    <n v="7717"/>
    <m/>
    <n v="1343041.75"/>
    <x v="10"/>
    <x v="1"/>
    <x v="1"/>
    <n v="-7717"/>
    <x v="10"/>
    <n v="7717"/>
  </r>
  <r>
    <d v="2026-02-02T00:00:00"/>
    <s v=" DIRECT DR   0043745420032 OF Mr. ANOOP SING  H VATSA AT 01868 DIESEL LOCO WORKS(VARANASI)"/>
    <s v=""/>
    <n v="8704"/>
    <m/>
    <n v="1334337.75"/>
    <x v="10"/>
    <x v="1"/>
    <x v="1"/>
    <n v="-8704"/>
    <x v="10"/>
    <n v="8704"/>
  </r>
  <r>
    <d v="2026-02-02T00:00:00"/>
    <s v=" WDL TFR   UPI/DR/299379420090/Flipkart/YESB/paytm-5650/O  idP   0097690162095 AT 01868 DIESEL LOCO WORKS(VARANASI)"/>
    <s v=""/>
    <n v="174"/>
    <m/>
    <n v="1334163.75"/>
    <x v="10"/>
    <x v="1"/>
    <x v="3"/>
    <n v="-174"/>
    <x v="10"/>
    <n v="174"/>
  </r>
  <r>
    <d v="2026-02-02T00:00:00"/>
    <s v=" DEBIT   ACHDr NACH00  000000056369 ETMONEY"/>
    <s v=""/>
    <n v="1500"/>
    <m/>
    <n v="1332663.75"/>
    <x v="10"/>
    <x v="1"/>
    <x v="2"/>
    <n v="-1500"/>
    <x v="10"/>
    <n v="1500"/>
  </r>
  <r>
    <d v="2026-02-02T00:00:00"/>
    <s v=" WDL TFR   UPI/DR/561867154713/Mohit  S/SBIN/6393236355/P  aym   0097690162095 AT 01868 DIESEL LOCO WORKS(VARANASI)"/>
    <s v=""/>
    <n v="980"/>
    <m/>
    <n v="1331683.75"/>
    <x v="10"/>
    <x v="1"/>
    <x v="3"/>
    <n v="-980"/>
    <x v="10"/>
    <n v="980"/>
  </r>
  <r>
    <d v="2026-02-02T00:00:00"/>
    <s v=" ATM WDL   ATM CASH 9281           DLW VARANASI          VARAN"/>
    <s v=""/>
    <n v="20000"/>
    <m/>
    <n v="1311683.75"/>
    <x v="10"/>
    <x v="1"/>
    <x v="7"/>
    <n v="-20000"/>
    <x v="10"/>
    <n v="20000"/>
  </r>
  <r>
    <d v="2026-02-03T00:00:00"/>
    <s v=" DEBIT   ACHDr YESB00709  000028661 TP ACH INDIANE"/>
    <s v=""/>
    <n v="10000"/>
    <m/>
    <n v="1301683.75"/>
    <x v="10"/>
    <x v="1"/>
    <x v="1"/>
    <n v="-10000"/>
    <x v="10"/>
    <n v="10000"/>
  </r>
  <r>
    <d v="2026-02-04T00:00:00"/>
    <s v=" DIRECT DR   0043740432393 OF Mr. ANOOP SING  H VATSA AT 01868 DIESEL LOCO WORKS(VARANASI)"/>
    <s v=""/>
    <n v="60700"/>
    <m/>
    <n v="1240983.75"/>
    <x v="10"/>
    <x v="1"/>
    <x v="1"/>
    <n v="-60700"/>
    <x v="10"/>
    <n v="60700"/>
  </r>
  <r>
    <d v="2026-02-04T00:00:00"/>
    <s v=" DIRECT DR   0043740438351 OF Mr. ANOOP SING  H VATSA AT 01868 DIESEL LOCO WORKS(VARANASI)"/>
    <s v=""/>
    <n v="6280"/>
    <m/>
    <n v="1234703.75"/>
    <x v="10"/>
    <x v="1"/>
    <x v="1"/>
    <n v="-6280"/>
    <x v="10"/>
    <n v="6280"/>
  </r>
  <r>
    <d v="2026-02-04T00:00:00"/>
    <s v=" WDL TFR   UPI/DR/143162766456/SANGEET /SBIN/1085213443/P  aym   0097692162094 AT 01868 DIESEL LOCO WORKS(VARANASI)"/>
    <s v=""/>
    <n v="1175"/>
    <m/>
    <n v="1233528.75"/>
    <x v="10"/>
    <x v="1"/>
    <x v="3"/>
    <n v="-1175"/>
    <x v="10"/>
    <n v="1175"/>
  </r>
  <r>
    <d v="2026-02-05T00:00:00"/>
    <s v=" WDL TFR   UPI/DR/603608609019/Ketto On/YESB/paytm-8772/O  idO   0097693162093 AT 01868 DIESEL LOCO WORKS(VARANASI)"/>
    <s v=""/>
    <n v="50"/>
    <m/>
    <n v="1233478.75"/>
    <x v="10"/>
    <x v="1"/>
    <x v="3"/>
    <n v="-50"/>
    <x v="10"/>
    <n v="50"/>
  </r>
  <r>
    <d v="2026-02-05T00:00:00"/>
    <s v=" WDL TFR   UPI/DR/191115829801/Mr Kisha/IDIB/kumarkisha/P  aym   0097693162093 AT 01868 DIESEL LOCO WORKS(VARANASI)"/>
    <s v=""/>
    <n v="1760"/>
    <m/>
    <n v="1231718.75"/>
    <x v="10"/>
    <x v="1"/>
    <x v="3"/>
    <n v="-1760"/>
    <x v="10"/>
    <n v="1760"/>
  </r>
  <r>
    <d v="2026-02-05T00:00:00"/>
    <s v=" WDL TFR   UPI/DR/506132742969/AMWAY IN/HSBC/amwayindia/P  aym   0097693162093 AT 01868 DIESEL LOCO WORKS(VARANASI)"/>
    <s v=""/>
    <n v="3203"/>
    <m/>
    <n v="1228515.75"/>
    <x v="10"/>
    <x v="1"/>
    <x v="3"/>
    <n v="-3203"/>
    <x v="10"/>
    <n v="3203"/>
  </r>
  <r>
    <d v="2026-02-05T00:00:00"/>
    <s v=" WDL TFR   UPI/DR/132879933471/AMWAY IN/HSBC/amwayindia/P  aym   0097693162093 AT 01868 DIESEL LOCO WORKS(VARANASI)"/>
    <s v=""/>
    <n v="3203"/>
    <m/>
    <n v="1225312.75"/>
    <x v="10"/>
    <x v="1"/>
    <x v="3"/>
    <n v="-3203"/>
    <x v="10"/>
    <n v="3203"/>
  </r>
  <r>
    <d v="2026-02-05T00:00:00"/>
    <s v=" DEP TFR   UPI/CR/603615877089/AMWAY IN/HSBC/Amwayindia/R  EFU   0097735162098 AT 01868 DIESEL LOCO WORKS(VARANASI)"/>
    <s v=""/>
    <m/>
    <n v="3203"/>
    <n v="1228515.75"/>
    <x v="10"/>
    <x v="0"/>
    <x v="3"/>
    <n v="3203"/>
    <x v="10"/>
    <n v="3203"/>
  </r>
  <r>
    <d v="2026-02-05T00:00:00"/>
    <s v=" DEBIT   ACHDr NACH0000  0000021717 COACHING FEE"/>
    <s v=""/>
    <n v="28294.7"/>
    <m/>
    <n v="1200221.05"/>
    <x v="10"/>
    <x v="1"/>
    <x v="1"/>
    <n v="-28294.7"/>
    <x v="10"/>
    <n v="28294.7"/>
  </r>
  <r>
    <d v="2026-02-07T00:00:00"/>
    <s v=" WDL TFR   UPI/DR/331937745920/Afjal An/YESB/paytmqr6ns/P  aym   0097695162091 AT 01868 DIESEL LOCO WORKS(VARANASI)"/>
    <s v=""/>
    <n v="3"/>
    <m/>
    <n v="1200218.05"/>
    <x v="10"/>
    <x v="1"/>
    <x v="3"/>
    <n v="-3"/>
    <x v="10"/>
    <n v="3"/>
  </r>
  <r>
    <d v="2026-02-08T00:00:00"/>
    <s v=" WDL TFR   UPI/DR/628850552212/NALIN SI/DBSS/nalinbisen/P  aym   0097696162090 AT 01868 DIESEL LOCO WORKS(VARANASI)"/>
    <s v=""/>
    <n v="424"/>
    <m/>
    <n v="1199794.05"/>
    <x v="10"/>
    <x v="1"/>
    <x v="3"/>
    <n v="-424"/>
    <x v="10"/>
    <n v="424"/>
  </r>
  <r>
    <d v="2026-02-08T00:00:00"/>
    <s v=" DEP TFR   UPI/CR/640503275268/Flipkart/YESB/paytm-5650/c  oll   0097738162095 AT 01868 DIESEL LOCO WORKS(VARANASI)"/>
    <s v=""/>
    <m/>
    <n v="167"/>
    <n v="1199961.05"/>
    <x v="10"/>
    <x v="0"/>
    <x v="3"/>
    <n v="167"/>
    <x v="10"/>
    <n v="167"/>
  </r>
  <r>
    <d v="2026-02-09T00:00:00"/>
    <s v=" WDL TFR   UPI/DR/112042460406/Seekho/utib/seekhoswn./Man  dat   0097690162095 AT 01868 DIESEL LOCO WORKS(VARANASI)"/>
    <s v=""/>
    <n v="199"/>
    <m/>
    <n v="1199762.05"/>
    <x v="10"/>
    <x v="1"/>
    <x v="3"/>
    <n v="-199"/>
    <x v="10"/>
    <n v="199"/>
  </r>
  <r>
    <d v="2026-02-09T00:00:00"/>
    <s v=" ATM WDL   ATM CASH 9920           DLW VARANASI          VARAN"/>
    <s v=""/>
    <n v="10000"/>
    <m/>
    <n v="1189762.05"/>
    <x v="10"/>
    <x v="1"/>
    <x v="7"/>
    <n v="-10000"/>
    <x v="10"/>
    <n v="10000"/>
  </r>
  <r>
    <d v="2026-02-09T00:00:00"/>
    <s v=" WDL TFR   UPI/DR/715763112952/BOOK PAL/YESB/paytm.s17n/P  aym   0097690162095 AT 01868 DIESEL LOCO WORKS(VARANASI)"/>
    <s v=""/>
    <n v="1800"/>
    <m/>
    <n v="1187962.05"/>
    <x v="10"/>
    <x v="1"/>
    <x v="3"/>
    <n v="-1800"/>
    <x v="10"/>
    <n v="1800"/>
  </r>
  <r>
    <d v="2026-02-10T00:00:00"/>
    <s v=" WDL TFR   UPI/DR/126705651495/Mr Kisha/IDIB/kumarkisha/P  aym   0097691162095 AT 01868 DIESEL LOCO WORKS(VARANASI)"/>
    <s v=""/>
    <n v="3275"/>
    <m/>
    <n v="1184687.05"/>
    <x v="10"/>
    <x v="1"/>
    <x v="3"/>
    <n v="-3275"/>
    <x v="10"/>
    <n v="3275"/>
  </r>
  <r>
    <d v="2026-02-10T00:00:00"/>
    <s v=" WDL TFR   UPI/DR/687432134740/Mr Kisha/IDIB/kumarkisha/P  aym   0097691162095 AT 01868 DIESEL LOCO WORKS(VARANASI)"/>
    <s v=""/>
    <n v="500"/>
    <m/>
    <n v="1184187.05"/>
    <x v="10"/>
    <x v="1"/>
    <x v="3"/>
    <n v="-500"/>
    <x v="10"/>
    <n v="500"/>
  </r>
  <r>
    <d v="2026-02-10T00:00:00"/>
    <s v=" WDL TFR   UPI/DR/306305717111/SANTOSH /BARB/7897984222/P  aym   0097691162095 AT 01868 DIESEL LOCO WORKS(VARANASI)"/>
    <s v=""/>
    <n v="18"/>
    <m/>
    <n v="1184169.05"/>
    <x v="10"/>
    <x v="1"/>
    <x v="3"/>
    <n v="-18"/>
    <x v="10"/>
    <n v="18"/>
  </r>
  <r>
    <d v="2026-02-12T00:00:00"/>
    <s v=" WDL TFR   UPI/DR/461652719070/Afjal An/YESB/paytmqr6ns/P  aym   0097693162093 AT 01868 DIESEL LOCO WORKS(VARANASI)"/>
    <s v=""/>
    <n v="14"/>
    <m/>
    <n v="1184155.05"/>
    <x v="10"/>
    <x v="1"/>
    <x v="3"/>
    <n v="-14"/>
    <x v="10"/>
    <n v="14"/>
  </r>
  <r>
    <d v="2026-02-13T00:00:00"/>
    <s v=" WDL TFR   UPI/DR/355636076992/ALIGN AS/YESB/paytmqr1gf/P  aym   0097694162092 AT 01868 DIESEL LOCO WORKS(VARANASI)"/>
    <s v=""/>
    <n v="3000"/>
    <m/>
    <n v="1181155.05"/>
    <x v="10"/>
    <x v="1"/>
    <x v="3"/>
    <n v="-3000"/>
    <x v="10"/>
    <n v="3000"/>
  </r>
  <r>
    <d v="2026-02-13T00:00:00"/>
    <s v=" WDL TFR   UPI/DR/864469661230/Bank Acc/PUNB/4045000102/P  aym   0097694162092 AT 01868 DIESEL LOCO WORKS(VARANASI)"/>
    <s v=""/>
    <n v="1000"/>
    <m/>
    <n v="1180155.05"/>
    <x v="10"/>
    <x v="1"/>
    <x v="3"/>
    <n v="-1000"/>
    <x v="10"/>
    <n v="1000"/>
  </r>
  <r>
    <d v="2026-02-13T00:00:00"/>
    <s v=" WDL TFR   UPI/DR/633019221557/Bank Acc/PUNB/4045000102/P  aym   0097694162092 AT 01868 DIESEL LOCO WORKS(VARANASI)"/>
    <s v=""/>
    <n v="24000"/>
    <m/>
    <n v="1156155.05"/>
    <x v="10"/>
    <x v="1"/>
    <x v="3"/>
    <n v="-24000"/>
    <x v="10"/>
    <n v="24000"/>
  </r>
  <r>
    <d v="2026-02-14T00:00:00"/>
    <s v=" WDL TFR   UPI/DR/858088268557/SHAMBHAV/KKBK/7355395914/P  aym   0097695162091 AT 01868 DIESEL LOCO WORKS(VARANASI)"/>
    <s v=""/>
    <n v="5000"/>
    <m/>
    <n v="1151155.05"/>
    <x v="10"/>
    <x v="1"/>
    <x v="3"/>
    <n v="-5000"/>
    <x v="10"/>
    <n v="5000"/>
  </r>
  <r>
    <d v="2026-02-14T00:00:00"/>
    <s v=" WDL TFR   UPI/DR/684760032035/Bank Acc/SBIN/3258418352/P  aym   0097695162091 AT 01868 DIESEL LOCO WORKS(VARANASI)"/>
    <s v=""/>
    <n v="4000"/>
    <m/>
    <n v="1147155.05"/>
    <x v="10"/>
    <x v="1"/>
    <x v="3"/>
    <n v="-4000"/>
    <x v="10"/>
    <n v="4000"/>
  </r>
  <r>
    <d v="2026-02-15T00:00:00"/>
    <s v=" WDL TFR   UPI/DR/078759573547/Mr MOHIT/CBIN/6393236355/P  aym   0097696162090 AT 01868 DIESEL LOCO WORKS(VARANASI)"/>
    <s v=""/>
    <n v="950"/>
    <m/>
    <n v="1146205.05"/>
    <x v="10"/>
    <x v="1"/>
    <x v="3"/>
    <n v="-950"/>
    <x v="10"/>
    <n v="950"/>
  </r>
  <r>
    <d v="2026-02-16T00:00:00"/>
    <s v=" WDL TFR   UPI/DR/442257545163/Afjal An/YESB/paytmqr6ns/P  aym   0097690162095 AT 01868 DIESEL LOCO WORKS(VARANASI)"/>
    <s v=""/>
    <n v="14"/>
    <m/>
    <n v="1146191.05"/>
    <x v="10"/>
    <x v="1"/>
    <x v="3"/>
    <n v="-14"/>
    <x v="10"/>
    <n v="14"/>
  </r>
  <r>
    <d v="2026-02-16T00:00:00"/>
    <s v=" WDL TFR   UPI/DR/981041103546/DILIP BH/BARB/9935700946/P  aym   0097690162095 AT 01868 DIESEL LOCO WORKS(VARANASI)"/>
    <s v=""/>
    <n v="14"/>
    <m/>
    <n v="1146177.05"/>
    <x v="10"/>
    <x v="1"/>
    <x v="3"/>
    <n v="-14"/>
    <x v="10"/>
    <n v="14"/>
  </r>
  <r>
    <d v="2026-02-17T00:00:00"/>
    <s v=" WDL TFR   UPI/DR/843961929591/Mr. RAJE/SBIN/rksinha01@/P  aym   0097691162095 AT 01868 DIESEL LOCO WORKS(VARANASI)"/>
    <s v=""/>
    <n v="1400"/>
    <m/>
    <n v="1144777.05"/>
    <x v="10"/>
    <x v="1"/>
    <x v="3"/>
    <n v="-1400"/>
    <x v="10"/>
    <n v="1400"/>
  </r>
  <r>
    <d v="2026-02-17T00:00:00"/>
    <s v=" WDL TFR   UPI/DR/424736006369/Uttar Pr/HDFC/billdeskpg/  Pay   0097691162095 AT 01868 DIESEL LOCO WORKS(VARANASI)"/>
    <s v=""/>
    <n v="3000"/>
    <m/>
    <n v="1141777.05"/>
    <x v="10"/>
    <x v="1"/>
    <x v="3"/>
    <n v="-3000"/>
    <x v="10"/>
    <n v="3000"/>
  </r>
  <r>
    <d v="2026-02-18T00:00:00"/>
    <s v=" WDL TFR   UPI/DR/551043990911/IRCTC Ra/UTIB/IRCTCRAILW/P  aym   0097692162094 AT 01868 DIESEL LOCO WORKS(VARANASI)"/>
    <s v=""/>
    <n v="878.6"/>
    <m/>
    <n v="1140898.45"/>
    <x v="10"/>
    <x v="1"/>
    <x v="3"/>
    <n v="-878.6"/>
    <x v="10"/>
    <n v="878.6"/>
  </r>
  <r>
    <d v="2026-02-18T00:00:00"/>
    <s v=" WDL TFR   UPI/DR/926914089846/Chaurasi/UTIB/gpay-11259/P  aym   0097692162094 AT 01868 DIESEL LOCO WORKS(VARANASI)"/>
    <s v=""/>
    <n v="15"/>
    <m/>
    <n v="1140883.45"/>
    <x v="10"/>
    <x v="1"/>
    <x v="3"/>
    <n v="-15"/>
    <x v="10"/>
    <n v="15"/>
  </r>
  <r>
    <d v="2026-02-18T00:00:00"/>
    <s v=" WDL TFR   UPI/DR/049794316505/Chaurasi/UTIB/gpay-11259/P  aym   0097692162094 AT 01868 DIESEL LOCO WORKS(VARANASI)"/>
    <s v=""/>
    <n v="12"/>
    <m/>
    <n v="1140871.45"/>
    <x v="10"/>
    <x v="1"/>
    <x v="3"/>
    <n v="-12"/>
    <x v="10"/>
    <n v="12"/>
  </r>
  <r>
    <d v="2026-02-19T00:00:00"/>
    <s v=" DEP TFR   UPI/REF/551043990911/CR   0097735  162098 AT 01868 DIESEL LOCO WORKS(VARANASI)"/>
    <s v=""/>
    <m/>
    <n v="790"/>
    <n v="1141661.45"/>
    <x v="10"/>
    <x v="0"/>
    <x v="3"/>
    <n v="790"/>
    <x v="10"/>
    <n v="790"/>
  </r>
  <r>
    <d v="2026-02-20T00:00:00"/>
    <s v=" WDL TFR   UPI/DR/550494892380/COMPUTER/YESB/paytm.s1tt/P  aym   0097694162092 AT 01868 DIESEL LOCO WORKS(VARANASI)"/>
    <s v=""/>
    <n v="70000"/>
    <m/>
    <n v="1071661.45"/>
    <x v="10"/>
    <x v="1"/>
    <x v="3"/>
    <n v="-70000"/>
    <x v="10"/>
    <n v="70000"/>
  </r>
  <r>
    <d v="2026-02-21T00:00:00"/>
    <s v=" WDL TFR   UPI/DR/360381759526/DIVYA SI/YESB/paytmqr1kw/P  aym   0097695162091 AT 01868 DIESEL LOCO WORKS(VARANASI)"/>
    <s v=""/>
    <n v="1100"/>
    <m/>
    <n v="1070561.45"/>
    <x v="10"/>
    <x v="1"/>
    <x v="3"/>
    <n v="-1100"/>
    <x v="10"/>
    <n v="1100"/>
  </r>
  <r>
    <d v="2026-02-22T00:00:00"/>
    <s v=" WDL TFR   UPI/DR/785716821127/Bank Acc/SBIN/9220200445/P  aym   0097696162090 AT 01868 DIESEL LOCO WORKS(VARANASI)"/>
    <s v=""/>
    <n v="14825"/>
    <m/>
    <n v="1055736.45"/>
    <x v="10"/>
    <x v="1"/>
    <x v="3"/>
    <n v="-14825"/>
    <x v="10"/>
    <n v="14825"/>
  </r>
  <r>
    <d v="2026-02-22T00:00:00"/>
    <s v=" DEP TFR   UPI/REV/785716821127   00976961  62090 AT 01868 DIESEL LOCO WORKS(VARANASI)"/>
    <s v=""/>
    <m/>
    <n v="14825"/>
    <n v="1070561.45"/>
    <x v="10"/>
    <x v="0"/>
    <x v="3"/>
    <n v="14825"/>
    <x v="10"/>
    <n v="14825"/>
  </r>
  <r>
    <d v="2026-02-22T00:00:00"/>
    <s v=" WDL TFR   IMPS/605322832529/UTIB-xx895-SRI JAGD/Bill P  ay   0098298162092 AT 01868 DIESEL LOCO WORKS(VARANASI)"/>
    <s v=""/>
    <n v="214825"/>
    <m/>
    <n v="855736.45"/>
    <x v="10"/>
    <x v="1"/>
    <x v="8"/>
    <n v="-214825"/>
    <x v="10"/>
    <n v="214825"/>
  </r>
  <r>
    <d v="2026-02-22T00:00:00"/>
    <s v=" WDL TFR   IMPS/605322833123/PUNB-xx750-SOHRAB A/Bill P  ay   0098298162092 AT 01868 DIESEL LOCO WORKS(VARANASI)"/>
    <s v=""/>
    <n v="25000"/>
    <m/>
    <n v="830736.45"/>
    <x v="10"/>
    <x v="1"/>
    <x v="8"/>
    <n v="-25000"/>
    <x v="10"/>
    <n v="25000"/>
  </r>
  <r>
    <d v="2026-02-23T00:00:00"/>
    <s v=" DEP TFR   P022604BE0E1C IOCL LPG SUBSIDY IOAP34D     0099428105213 AT 01868 DIESEL LOCO WORKS(VARANASI)"/>
    <s v=""/>
    <m/>
    <n v="59.52"/>
    <n v="830795.97"/>
    <x v="10"/>
    <x v="0"/>
    <x v="6"/>
    <n v="59.52"/>
    <x v="10"/>
    <n v="59.52"/>
  </r>
  <r>
    <d v="2026-02-23T00:00:00"/>
    <s v=" WDL TFR   UPI/DR/177910420365/RAVI SHA/YESB/paytmqr67l/P  aym   0097690162095 AT 01868 DIESEL LOCO WORKS(VARANASI)"/>
    <s v=""/>
    <n v="170"/>
    <m/>
    <n v="830625.97"/>
    <x v="10"/>
    <x v="1"/>
    <x v="3"/>
    <n v="-170"/>
    <x v="10"/>
    <n v="170"/>
  </r>
  <r>
    <d v="2026-02-23T00:00:00"/>
    <s v=" WDL TFR   UPI/DR/151391611337/SHREE KR/YESB/paytmqr6yw/P  aym   0097690162095 AT 01868 DIESEL LOCO WORKS(VARANASI)"/>
    <s v=""/>
    <n v="3006"/>
    <m/>
    <n v="827619.97"/>
    <x v="10"/>
    <x v="1"/>
    <x v="3"/>
    <n v="-3006"/>
    <x v="10"/>
    <n v="3006"/>
  </r>
  <r>
    <d v="2026-02-23T00:00:00"/>
    <s v=" WDL TFR   UPI/DR/676464249406/Keshari /UTIB/gpay-11257/P  aym   0097690162095 AT 01868 DIESEL LOCO WORKS(VARANASI)"/>
    <s v=""/>
    <n v="2100"/>
    <m/>
    <n v="825519.97"/>
    <x v="10"/>
    <x v="1"/>
    <x v="3"/>
    <n v="-2100"/>
    <x v="10"/>
    <n v="2100"/>
  </r>
  <r>
    <d v="2026-02-24T00:00:00"/>
    <s v=" WDL TFR   UPI/DR/698850855982/CHHEDI LAL/BARB/9453749325  /Pa   0097691162095 AT 01868 DIESEL LOCO WORKS(VARANASI)"/>
    <s v=""/>
    <n v="15000"/>
    <m/>
    <n v="810519.97"/>
    <x v="10"/>
    <x v="1"/>
    <x v="3"/>
    <n v="-15000"/>
    <x v="10"/>
    <n v="15000"/>
  </r>
  <r>
    <d v="2026-02-24T00:00:00"/>
    <s v=" WDL TFR   UPI/DR/329732085398/CHHEDI LAL/BARB/9453749325  /Pa   0097691162095 AT 01868 DIESEL LOCO WORKS(VARANASI)"/>
    <s v=""/>
    <n v="13500"/>
    <m/>
    <n v="797019.97"/>
    <x v="10"/>
    <x v="1"/>
    <x v="3"/>
    <n v="-13500"/>
    <x v="10"/>
    <n v="13500"/>
  </r>
  <r>
    <d v="2026-02-24T00:00:00"/>
    <s v=" WDL TFR   UPI/DR/590377023512/CHHEDI LAL/BARB/9453749325  /Pa   0097691162095 AT 01868 DIESEL LOCO WORKS(VARANASI)"/>
    <s v=""/>
    <n v="500"/>
    <m/>
    <n v="796519.97"/>
    <x v="10"/>
    <x v="1"/>
    <x v="3"/>
    <n v="-500"/>
    <x v="10"/>
    <n v="500"/>
  </r>
  <r>
    <d v="2026-02-24T00:00:00"/>
    <s v=" ATM WDL   ATM CASH 9179           DLW VARANASI          VARAN"/>
    <s v=""/>
    <n v="9500"/>
    <m/>
    <n v="787019.97"/>
    <x v="10"/>
    <x v="1"/>
    <x v="7"/>
    <n v="-9500"/>
    <x v="10"/>
    <n v="9500"/>
  </r>
  <r>
    <d v="2026-02-25T00:00:00"/>
    <s v=" WDL TFR   UPI/DR/221633535948/AKHILESH/SBIN/9793146416/P  aym   0097692162094 AT 01868 DIESEL LOCO WORKS(VARANASI)"/>
    <s v=""/>
    <n v="15000"/>
    <m/>
    <n v="772019.97"/>
    <x v="10"/>
    <x v="1"/>
    <x v="3"/>
    <n v="-15000"/>
    <x v="10"/>
    <n v="15000"/>
  </r>
  <r>
    <d v="2026-02-25T00:00:00"/>
    <s v=" WDL TFR   UPI/DR/017137129150/SS ENTER/ICIC/eazypay.00/P  aym   0097692162094 AT 01868 DIESEL LOCO WORKS(VARANASI)"/>
    <s v=""/>
    <n v="1080"/>
    <m/>
    <n v="770939.97"/>
    <x v="10"/>
    <x v="1"/>
    <x v="3"/>
    <n v="-1080"/>
    <x v="10"/>
    <n v="1080"/>
  </r>
  <r>
    <d v="2026-02-25T00:00:00"/>
    <s v=" WDL TFR   UPI/DR/665154465582/PhonePe/YESB/sv25121122/Pa  yme   0097692162094 AT 01868 DIESEL LOCO WORKS(VARANASI)"/>
    <s v=""/>
    <n v="57375"/>
    <m/>
    <n v="713564.97"/>
    <x v="10"/>
    <x v="1"/>
    <x v="3"/>
    <n v="-57375"/>
    <x v="10"/>
    <n v="57375"/>
  </r>
  <r>
    <d v="2026-02-25T00:00:00"/>
    <s v=" WDL TFR   UPI/DR/436021558667/RAVI SHA/YESB/paytmqr67l/P  aym   0097692162094 AT 01868 DIESEL LOCO WORKS(VARANASI)"/>
    <s v=""/>
    <n v="219"/>
    <m/>
    <n v="713345.97"/>
    <x v="10"/>
    <x v="1"/>
    <x v="3"/>
    <n v="-219"/>
    <x v="10"/>
    <n v="219"/>
  </r>
  <r>
    <d v="2026-02-25T00:00:00"/>
    <s v=" WDL TFR   UPI/DR/603619820651/BRIJESH /YESB/Q388579857/P  aym   0097692162094 AT 01868 DIESEL LOCO WORKS(VARANASI)"/>
    <s v=""/>
    <n v="280"/>
    <m/>
    <n v="713065.97"/>
    <x v="10"/>
    <x v="1"/>
    <x v="3"/>
    <n v="-280"/>
    <x v="10"/>
    <n v="280"/>
  </r>
  <r>
    <d v="2026-02-25T00:00:00"/>
    <s v=" WDL TFR   UPI/DR/125784024494/Afjal An/YESB/paytmqr6ns/P  aym   0097692162094 AT 01868 DIESEL LOCO WORKS(VARANASI)"/>
    <s v=""/>
    <n v="18"/>
    <m/>
    <n v="713047.97"/>
    <x v="10"/>
    <x v="1"/>
    <x v="3"/>
    <n v="-18"/>
    <x v="10"/>
    <n v="18"/>
  </r>
  <r>
    <d v="2026-02-26T00:00:00"/>
    <s v=" WDL TFR   UPI/DR/278628206353/NEW PATE/YESB/q027519700/P  aym   0097693162093 AT 01868 DIESEL LOCO WORKS(VARANASI)"/>
    <s v=""/>
    <n v="1550"/>
    <m/>
    <n v="711497.97"/>
    <x v="10"/>
    <x v="1"/>
    <x v="3"/>
    <n v="-1550"/>
    <x v="10"/>
    <n v="1550"/>
  </r>
  <r>
    <d v="2026-02-26T00:00:00"/>
    <s v=" WDL TFR   UPI/DR/713200626662/CHANDAN /ICIC/8574999105/P  aym   0097693162093 AT 01868 DIESEL LOCO WORKS(VARANASI)"/>
    <s v=""/>
    <n v="500"/>
    <m/>
    <n v="710997.97"/>
    <x v="10"/>
    <x v="1"/>
    <x v="3"/>
    <n v="-500"/>
    <x v="10"/>
    <n v="500"/>
  </r>
  <r>
    <d v="2026-02-26T00:00:00"/>
    <s v=" CEMTEX DEP   Sa  lary of Feb 2026"/>
    <s v=""/>
    <m/>
    <n v="114840"/>
    <n v="825837.97"/>
    <x v="10"/>
    <x v="0"/>
    <x v="0"/>
    <n v="114840"/>
    <x v="10"/>
    <n v="114840"/>
  </r>
  <r>
    <d v="2026-02-26T00:00:00"/>
    <s v=" WDL TFR   UPI/DR/010819969010/SIYARAM /YESB/paytm.s11w/P  aym   0097693162093 AT 01868 DIESEL LOCO WORKS(VARANASI)"/>
    <s v=""/>
    <n v="1150"/>
    <m/>
    <n v="824687.97"/>
    <x v="10"/>
    <x v="1"/>
    <x v="3"/>
    <n v="-1150"/>
    <x v="10"/>
    <n v="1150"/>
  </r>
  <r>
    <d v="2026-02-26T00:00:00"/>
    <s v=" WDL TFR   UPI/DR/420507131061/SIYARAM /YESB/paytm.s11w/P  aym   0097693162093 AT 01868 DIESEL LOCO WORKS(VARANASI)"/>
    <s v=""/>
    <n v="855"/>
    <m/>
    <n v="823832.97"/>
    <x v="10"/>
    <x v="1"/>
    <x v="3"/>
    <n v="-855"/>
    <x v="10"/>
    <n v="855"/>
  </r>
  <r>
    <d v="2026-02-27T00:00:00"/>
    <s v=" WDL TFR   UPI/DR/145325822144/SIYARAM /YESB/paytm.s11w/P  aym   0097694162092 AT 01868 DIESEL LOCO WORKS(VARANASI)"/>
    <s v=""/>
    <n v="560"/>
    <m/>
    <n v="823272.97"/>
    <x v="10"/>
    <x v="1"/>
    <x v="3"/>
    <n v="-560"/>
    <x v="10"/>
    <n v="560"/>
  </r>
  <r>
    <d v="2026-02-28T00:00:00"/>
    <s v=" WDL TFR   UPI/DR/629702604977/RAVI SHA/YESB/paytmqr67l/P  aym   0097695162091 AT 01868 DIESEL LOCO WORKS(VARANASI)"/>
    <s v=""/>
    <n v="60"/>
    <m/>
    <n v="823212.97"/>
    <x v="10"/>
    <x v="1"/>
    <x v="3"/>
    <n v="-60"/>
    <x v="10"/>
    <n v="60"/>
  </r>
  <r>
    <d v="2026-02-28T00:00:00"/>
    <s v=" WDL TFR   UPI/DR/077527117946/Mr Ashok/IDIB/8528768605/P  aym   0097695162091 AT 01868 DIESEL LOCO WORKS(VARANASI)"/>
    <s v=""/>
    <n v="265"/>
    <m/>
    <n v="822947.97"/>
    <x v="10"/>
    <x v="1"/>
    <x v="3"/>
    <n v="-265"/>
    <x v="10"/>
    <n v="265"/>
  </r>
  <r>
    <d v="2026-02-28T00:00:00"/>
    <s v=" WDL TFR   UPI/DR/215044564176/BRIJESH /YESB/Q831848200/P  aym   0097695162091 AT 01868 DIESEL LOCO WORKS(VARANASI)"/>
    <s v=""/>
    <n v="400"/>
    <m/>
    <n v="822547.97"/>
    <x v="10"/>
    <x v="1"/>
    <x v="3"/>
    <n v="-400"/>
    <x v="10"/>
    <n v="400"/>
  </r>
  <r>
    <d v="2026-02-28T00:00:00"/>
    <s v=" WDL TFR   UPI/DR/166987901046/SOHRAB A/PUNB/6387977900/P  aym   0097695162091 AT 01868 DIESEL LOCO WORKS(VARANASI)"/>
    <s v=""/>
    <n v="25000"/>
    <m/>
    <n v="797547.97"/>
    <x v="10"/>
    <x v="1"/>
    <x v="3"/>
    <n v="-25000"/>
    <x v="10"/>
    <n v="25000"/>
  </r>
  <r>
    <d v="2026-02-28T00:00:00"/>
    <s v=" WDL TFR   UPI/DR/466894628620/Bank Acc/SBIN/9220200445/P  aym   0097695162091 AT 01868 DIESEL LOCO WORKS(VARANASI)"/>
    <s v=""/>
    <n v="37000"/>
    <m/>
    <n v="760547.97"/>
    <x v="10"/>
    <x v="1"/>
    <x v="3"/>
    <n v="-37000"/>
    <x v="10"/>
    <n v="37000"/>
  </r>
  <r>
    <d v="2026-02-28T00:00:00"/>
    <s v=" DEP TFR   UPI/REV/466894628620   00976951  62091 AT 01868 DIESEL LOCO WORKS(VARANASI)"/>
    <s v=""/>
    <m/>
    <n v="37000"/>
    <n v="797547.97"/>
    <x v="10"/>
    <x v="0"/>
    <x v="3"/>
    <n v="37000"/>
    <x v="10"/>
    <n v="37000"/>
  </r>
  <r>
    <d v="2026-02-28T00:00:00"/>
    <s v=" WDL TFR   IMPS/605919650941/UTIB-xx895-SRI JAGD/Bill P  ay   0098296162094 AT 01868 DIESEL LOCO WORKS(VARANASI)"/>
    <s v=""/>
    <n v="37000"/>
    <m/>
    <n v="760547.97"/>
    <x v="10"/>
    <x v="1"/>
    <x v="8"/>
    <n v="-37000"/>
    <x v="10"/>
    <n v="37000"/>
  </r>
  <r>
    <d v="2026-02-28T00:00:00"/>
    <s v=" WDL TFR   UPI/DR/355304132641/RAVI SHA/YESB/paytmqr67l/P  aym   0097695162091 AT 01868 DIESEL LOCO WORKS(VARANASI)"/>
    <s v=""/>
    <n v="330"/>
    <m/>
    <n v="760217.97"/>
    <x v="10"/>
    <x v="1"/>
    <x v="3"/>
    <n v="-330"/>
    <x v="10"/>
    <n v="330"/>
  </r>
  <r>
    <d v="2026-03-01T00:00:00"/>
    <s v=" WDL TFR   UPI/DR/089347668775/ALIGN AS/YESB/paytmqr1gf/P  aym   0097695162091 AT 01868 DIESEL LOCO WORKS(VARANASI)"/>
    <s v=""/>
    <n v="1000"/>
    <m/>
    <n v="759217.97"/>
    <x v="11"/>
    <x v="1"/>
    <x v="3"/>
    <n v="-1000"/>
    <x v="11"/>
    <n v="1000"/>
  </r>
  <r>
    <d v="2026-03-01T00:00:00"/>
    <s v=" ATM WDL   ATM CASH 6459           ATM DLW               VARAN"/>
    <s v=""/>
    <n v="20000"/>
    <m/>
    <n v="739217.97"/>
    <x v="11"/>
    <x v="1"/>
    <x v="7"/>
    <n v="-20000"/>
    <x v="11"/>
    <n v="20000"/>
  </r>
  <r>
    <d v="2026-03-01T00:00:00"/>
    <s v=" WDL TFR   UPI/DR/831002039078/PARAS AU/YESB/paytmqr5za/P  aym   0097696162090 AT 01868 DIESEL LOCO WORKS(VARANASI)"/>
    <s v=""/>
    <n v="443"/>
    <m/>
    <n v="738774.97"/>
    <x v="11"/>
    <x v="1"/>
    <x v="3"/>
    <n v="-443"/>
    <x v="11"/>
    <n v="443"/>
  </r>
  <r>
    <d v="2026-03-01T00:00:00"/>
    <s v=" DEBIT   ACHDr NACH00  000000056369 ETMONEY"/>
    <s v=""/>
    <n v="1000"/>
    <m/>
    <n v="737774.97"/>
    <x v="11"/>
    <x v="1"/>
    <x v="2"/>
    <n v="-1000"/>
    <x v="11"/>
    <n v="1000"/>
  </r>
  <r>
    <d v="2026-03-01T00:00:00"/>
    <s v=" WDL TFR   UPI/DR/606067590757/Amazon I/UTIB/amazonupi@/  You   0097696162090 AT 01868 DIESEL LOCO WORKS(VARANASI)"/>
    <s v=""/>
    <n v="583"/>
    <m/>
    <n v="737191.97"/>
    <x v="11"/>
    <x v="1"/>
    <x v="3"/>
    <n v="-583"/>
    <x v="11"/>
    <n v="583"/>
  </r>
  <r>
    <d v="2026-03-01T00:00:00"/>
    <s v=" WDL TFR   UPI/DR/000083705888/SOHRAB A/PUNB/6387977900/P  aym   0097696162090 AT 01868 DIESEL LOCO WORKS(VARANASI)"/>
    <s v=""/>
    <n v="25000"/>
    <m/>
    <n v="712191.97"/>
    <x v="11"/>
    <x v="1"/>
    <x v="3"/>
    <n v="-25000"/>
    <x v="11"/>
    <n v="25000"/>
  </r>
  <r>
    <d v="2026-03-01T00:00:00"/>
    <s v=" WDL TFR   UPI/DR/905638001774/Rehan  K/SBIN/rehankhant/P  aym   0097696162090 AT 01868 DIESEL LOCO WORKS(VARANASI)"/>
    <s v=""/>
    <n v="56900"/>
    <m/>
    <n v="655291.97"/>
    <x v="11"/>
    <x v="1"/>
    <x v="3"/>
    <n v="-56900"/>
    <x v="11"/>
    <n v="56900"/>
  </r>
  <r>
    <d v="2026-03-01T00:00:00"/>
    <s v=" WDL TFR   UPI/DR/047869348666/Mr MOHIT/CBIN/6393236355/P  aym   0097696162090 AT 01868 DIESEL LOCO WORKS(VARANASI)"/>
    <s v=""/>
    <n v="915"/>
    <m/>
    <n v="654376.97"/>
    <x v="11"/>
    <x v="1"/>
    <x v="3"/>
    <n v="-915"/>
    <x v="11"/>
    <n v="915"/>
  </r>
  <r>
    <d v="2026-03-02T00:00:00"/>
    <s v=" DEBIT   ACHDr YESB00709  000028661 TP ACH INDIANE"/>
    <s v=""/>
    <n v="2000"/>
    <m/>
    <n v="652376.97"/>
    <x v="11"/>
    <x v="1"/>
    <x v="1"/>
    <n v="-2000"/>
    <x v="11"/>
    <n v="2000"/>
  </r>
  <r>
    <d v="2026-03-02T00:00:00"/>
    <s v=" DEBIT   ACHDr YESB00709  000028661 TP ACH INDIANE"/>
    <s v=""/>
    <n v="2000"/>
    <m/>
    <n v="650376.97"/>
    <x v="11"/>
    <x v="1"/>
    <x v="1"/>
    <n v="-2000"/>
    <x v="11"/>
    <n v="2000"/>
  </r>
  <r>
    <d v="2026-03-02T00:00:00"/>
    <s v=" DEBIT   ACHDr YESB00709  000028661 TP ACH INDIANE"/>
    <s v=""/>
    <n v="5000"/>
    <m/>
    <n v="645376.97"/>
    <x v="11"/>
    <x v="1"/>
    <x v="1"/>
    <n v="-5000"/>
    <x v="11"/>
    <n v="5000"/>
  </r>
  <r>
    <d v="2026-03-02T00:00:00"/>
    <s v=" DEBIT   ACHDr YESB00709  000028661 TP ACH INDIANE"/>
    <s v=""/>
    <n v="3000"/>
    <m/>
    <n v="642376.97"/>
    <x v="11"/>
    <x v="1"/>
    <x v="1"/>
    <n v="-3000"/>
    <x v="11"/>
    <n v="3000"/>
  </r>
  <r>
    <d v="2026-03-02T00:00:00"/>
    <s v=" DEBIT   ACHDr YESB00709  000028661 TP ACH INDIANE"/>
    <s v=""/>
    <n v="2000"/>
    <m/>
    <n v="640376.97"/>
    <x v="11"/>
    <x v="1"/>
    <x v="1"/>
    <n v="-2000"/>
    <x v="11"/>
    <n v="2000"/>
  </r>
  <r>
    <d v="2026-03-02T00:00:00"/>
    <s v=" DIRECT DR   0044198135955 OF Mr. ANOOP SING  H VATSA AT 01868 DIESEL LOCO WORKS(VARANASI)"/>
    <s v=""/>
    <n v="7717"/>
    <m/>
    <n v="632659.97"/>
    <x v="11"/>
    <x v="1"/>
    <x v="1"/>
    <n v="-7717"/>
    <x v="11"/>
    <n v="7717"/>
  </r>
  <r>
    <d v="2026-03-02T00:00:00"/>
    <s v=" DIRECT DR   0043745420032 OF Mr. ANOOP SING  H VATSA AT 01868 DIESEL LOCO WORKS(VARANASI)"/>
    <s v=""/>
    <n v="8704"/>
    <m/>
    <n v="623955.97"/>
    <x v="11"/>
    <x v="1"/>
    <x v="1"/>
    <n v="-8704"/>
    <x v="11"/>
    <n v="8704"/>
  </r>
  <r>
    <d v="2026-03-02T00:00:00"/>
    <s v=" DEBIT   ACHDr NACH00  000000056369 ETMONEY"/>
    <s v=""/>
    <n v="1500"/>
    <m/>
    <n v="622455.97"/>
    <x v="11"/>
    <x v="1"/>
    <x v="2"/>
    <n v="-1500"/>
    <x v="11"/>
    <n v="1500"/>
  </r>
  <r>
    <d v="2026-03-02T00:00:00"/>
    <s v=" DEBIT   CMP MANDATE D  EBIT AXIS Mutual FUND"/>
    <s v=""/>
    <n v="1000"/>
    <m/>
    <n v="621455.97"/>
    <x v="11"/>
    <x v="1"/>
    <x v="6"/>
    <n v="-1000"/>
    <x v="11"/>
    <n v="1000"/>
  </r>
  <r>
    <d v="2026-03-02T00:00:00"/>
    <s v=" WDL TFR   IMPS/606117538090/PUNB-xx750-SOHRAB A/Bill P  ay   0098286162096 AT 01868 DIESEL LOCO WORKS(VARANASI)"/>
    <s v=""/>
    <n v="25000"/>
    <m/>
    <n v="596455.97"/>
    <x v="11"/>
    <x v="1"/>
    <x v="8"/>
    <n v="-25000"/>
    <x v="11"/>
    <n v="25000"/>
  </r>
  <r>
    <d v="2026-03-03T00:00:00"/>
    <s v=" WDL TFR   UPI/DR/201175208320/JIO Post/YESB/paytm-5381/O  idP   0097691162095 AT 01868 DIESEL LOCO WORKS(VARANASI)"/>
    <s v=""/>
    <n v="1060.82"/>
    <m/>
    <n v="595395.15"/>
    <x v="11"/>
    <x v="1"/>
    <x v="3"/>
    <n v="-1060.82"/>
    <x v="11"/>
    <n v="1060.82"/>
  </r>
  <r>
    <d v="2026-03-03T00:00:00"/>
    <s v=" WDL TFR   UPI/DR/055461850765/Chaurasi/UTIB/gpay-11259/P  aym   0097691162095 AT 01868 DIESEL LOCO WORKS(VARANASI)"/>
    <s v=""/>
    <n v="2100"/>
    <m/>
    <n v="593295.15"/>
    <x v="11"/>
    <x v="1"/>
    <x v="3"/>
    <n v="-2100"/>
    <x v="11"/>
    <n v="2100"/>
  </r>
  <r>
    <d v="2026-03-04T00:00:00"/>
    <s v=" DIRECT DR   0043740432393 OF Mr. ANOOP SING  H VATSA AT 01868 DIESEL LOCO WORKS(VARANASI)"/>
    <s v=""/>
    <n v="60700"/>
    <m/>
    <n v="532595.15"/>
    <x v="11"/>
    <x v="1"/>
    <x v="1"/>
    <n v="-60700"/>
    <x v="11"/>
    <n v="60700"/>
  </r>
  <r>
    <d v="2026-03-04T00:00:00"/>
    <s v=" DIRECT DR   0043740438351 OF Mr. ANOOP SING  H VATSA AT 01868 DIESEL LOCO WORKS(VARANASI)"/>
    <s v=""/>
    <n v="6280"/>
    <m/>
    <n v="526315.15"/>
    <x v="11"/>
    <x v="1"/>
    <x v="1"/>
    <n v="-6280"/>
    <x v="11"/>
    <n v="6280"/>
  </r>
  <r>
    <d v="2026-03-04T00:00:00"/>
    <s v=" DEBIT   ACHDr YESB00709  000028661 TP ACH INDIANE"/>
    <s v=""/>
    <n v="10000"/>
    <m/>
    <n v="516315.15"/>
    <x v="11"/>
    <x v="1"/>
    <x v="1"/>
    <n v="-10000"/>
    <x v="11"/>
    <n v="10000"/>
  </r>
  <r>
    <d v="2026-03-05T00:00:00"/>
    <s v=" WDL TFR   UPI/DR/606405252665/Ketto On/YESB/paytm-8772/O  idO   0097693162093 AT 01868 DIESEL LOCO WORKS(VARANASI)"/>
    <s v=""/>
    <n v="50"/>
    <m/>
    <n v="516265.15"/>
    <x v="11"/>
    <x v="1"/>
    <x v="3"/>
    <n v="-50"/>
    <x v="11"/>
    <n v="50"/>
  </r>
  <r>
    <d v="2026-03-06T00:00:00"/>
    <s v=" WDL TFR   UPI/DR/838871586530/SHAILEND/YESB/Q694235232/P  aym   0097694162092 AT 01868 DIESEL LOCO WORKS(VARANASI)"/>
    <s v=""/>
    <n v="470"/>
    <m/>
    <n v="515795.15"/>
    <x v="11"/>
    <x v="1"/>
    <x v="3"/>
    <n v="-470"/>
    <x v="11"/>
    <n v="470"/>
  </r>
  <r>
    <d v="2026-03-06T00:00:00"/>
    <s v=" WDL TFR   UPI/DR/474026583412/RAVI SHA/YESB/paytmqr67l/P  aym   0097694162092 AT 01868 DIESEL LOCO WORKS(VARANASI)"/>
    <s v=""/>
    <n v="615"/>
    <m/>
    <n v="515180.15"/>
    <x v="11"/>
    <x v="1"/>
    <x v="3"/>
    <n v="-615"/>
    <x v="11"/>
    <n v="615"/>
  </r>
  <r>
    <d v="2026-03-06T00:00:00"/>
    <s v=" WDL TFR   UPI/DR/450915225826/Blinkit/YESB/paytm-blin/Bl  ink   0097694162092 AT 01868 DIESEL LOCO WORKS(VARANASI)"/>
    <s v=""/>
    <n v="318"/>
    <m/>
    <n v="514862.15"/>
    <x v="11"/>
    <x v="1"/>
    <x v="3"/>
    <n v="-318"/>
    <x v="11"/>
    <n v="318"/>
  </r>
  <r>
    <d v="2026-03-06T00:00:00"/>
    <s v=" WDL TFR   UPI/DR/732271947074/ANSH IT /YESB/q198310480/P  aym   0097694162092 AT 01868 DIESEL LOCO WORKS(VARANASI)"/>
    <s v=""/>
    <n v="4000"/>
    <m/>
    <n v="510862.15"/>
    <x v="11"/>
    <x v="1"/>
    <x v="3"/>
    <n v="-4000"/>
    <x v="11"/>
    <n v="4000"/>
  </r>
  <r>
    <d v="2026-03-07T00:00:00"/>
    <s v=" WDL TFR   UPI/DR/205108555313/SHAMBHAV/KKBK/7355395914/P  aym   0097695162091 AT 01868 DIESEL LOCO WORKS(VARANASI)"/>
    <s v=""/>
    <n v="2000"/>
    <m/>
    <n v="508862.15"/>
    <x v="11"/>
    <x v="1"/>
    <x v="3"/>
    <n v="-2000"/>
    <x v="11"/>
    <n v="2000"/>
  </r>
  <r>
    <d v="2026-03-07T00:00:00"/>
    <s v=" WDL TFR   UPI/DR/879691152585/NALIN SI/DBSS/nalinbisen/P  aym   0097695162091 AT 01868 DIESEL LOCO WORKS(VARANASI)"/>
    <s v=""/>
    <n v="424"/>
    <m/>
    <n v="508438.15"/>
    <x v="11"/>
    <x v="1"/>
    <x v="3"/>
    <n v="-424"/>
    <x v="11"/>
    <n v="424"/>
  </r>
  <r>
    <d v="2026-03-07T00:00:00"/>
    <s v=" WDL TFR   UPI/DR/806645322138/SHAMBHAV/KKBK/7355395914/P  aym   0097695162091 AT 01868 DIESEL LOCO WORKS(VARANASI)"/>
    <s v=""/>
    <n v="10000"/>
    <m/>
    <n v="498438.15"/>
    <x v="11"/>
    <x v="1"/>
    <x v="3"/>
    <n v="-10000"/>
    <x v="11"/>
    <n v="10000"/>
  </r>
  <r>
    <d v="2026-03-07T00:00:00"/>
    <s v=" WDL TFR   UPI/DR/157023175560/Bank Acc/SBIN/3258418352/P  aym   0097695162091 AT 01868 DIESEL LOCO WORKS(VARANASI)"/>
    <s v=""/>
    <n v="4000"/>
    <m/>
    <n v="494438.15"/>
    <x v="11"/>
    <x v="1"/>
    <x v="3"/>
    <n v="-4000"/>
    <x v="11"/>
    <n v="4000"/>
  </r>
  <r>
    <d v="2026-03-08T00:00:00"/>
    <s v=" WDL TFR   UPI/DR/434860160604/IRCTC Ra/YESB/IRCTCPGONL/P  aym   0097696162090 AT 01868 DIESEL LOCO WORKS(VARANASI)"/>
    <s v=""/>
    <n v="371.8"/>
    <m/>
    <n v="494066.35"/>
    <x v="11"/>
    <x v="1"/>
    <x v="3"/>
    <n v="-371.8"/>
    <x v="11"/>
    <n v="371.8"/>
  </r>
  <r>
    <d v="2026-03-08T00:00:00"/>
    <s v=" WDL TFR   UPI/DR/297485987946/VINOD VA/YESB/paytm.s22c/P  aym   0097696162090 AT 01868 DIESEL LOCO WORKS(VARANASI)"/>
    <s v=""/>
    <n v="863"/>
    <m/>
    <n v="493203.35"/>
    <x v="11"/>
    <x v="1"/>
    <x v="3"/>
    <n v="-863"/>
    <x v="11"/>
    <n v="863"/>
  </r>
  <r>
    <d v="2026-03-09T00:00:00"/>
    <s v=" WDL TFR   UPI/DR/299164481894/Indian R/SBIN/railsbiupi/P  aym   0097690162095 AT 01868 DIESEL LOCO WORKS(VARANASI)"/>
    <s v=""/>
    <n v="700"/>
    <m/>
    <n v="492503.35"/>
    <x v="11"/>
    <x v="1"/>
    <x v="3"/>
    <n v="-700"/>
    <x v="11"/>
    <n v="700"/>
  </r>
  <r>
    <d v="2026-03-09T00:00:00"/>
    <s v=" WDL TFR   UPI/DR/743063020686/Seekho/utib/seekhoswn./Man  dat   0097690162095 AT 01868 DIESEL LOCO WORKS(VARANASI)"/>
    <s v=""/>
    <n v="199"/>
    <m/>
    <n v="492304.35"/>
    <x v="11"/>
    <x v="1"/>
    <x v="3"/>
    <n v="-199"/>
    <x v="11"/>
    <n v="199"/>
  </r>
  <r>
    <d v="2026-03-09T00:00:00"/>
    <s v=" WDL TFR   UPI/DR/482347801686/SULEMAN/BARB/s21089592@/Pa  yme   0097690162095 AT 01868 DIESEL LOCO WORKS(VARANASI)"/>
    <s v=""/>
    <n v="130"/>
    <m/>
    <n v="492174.35"/>
    <x v="11"/>
    <x v="1"/>
    <x v="3"/>
    <n v="-130"/>
    <x v="11"/>
    <n v="130"/>
  </r>
  <r>
    <d v="2026-03-09T00:00:00"/>
    <s v=" WDL TFR   UPI/DR/447746208982/SARDAR  /IOBA/8318182397/P  aym   0097690162095 AT 01868 DIESEL LOCO WORKS(VARANASI)"/>
    <s v=""/>
    <n v="31000"/>
    <m/>
    <n v="461174.35"/>
    <x v="11"/>
    <x v="1"/>
    <x v="3"/>
    <n v="-31000"/>
    <x v="11"/>
    <n v="31000"/>
  </r>
  <r>
    <d v="2026-03-09T00:00:00"/>
    <s v=" WDL TFR   UPI/DR/400628901290/Rehan  K/SBIN/rehankhant/P  aym   0097690162095 AT 01868 DIESEL LOCO WORKS(VARANASI)"/>
    <s v=""/>
    <n v="24600"/>
    <m/>
    <n v="436574.35"/>
    <x v="11"/>
    <x v="1"/>
    <x v="3"/>
    <n v="-24600"/>
    <x v="11"/>
    <n v="24600"/>
  </r>
  <r>
    <d v="2026-03-09T00:00:00"/>
    <s v=" WDL TFR   UPI/DR/212648423277/Afjal An/YESB/paytmqr6ns/P  aym   0097690162095 AT 01868 DIESEL LOCO WORKS(VARANASI)"/>
    <s v=""/>
    <n v="15"/>
    <m/>
    <n v="436559.35"/>
    <x v="11"/>
    <x v="1"/>
    <x v="3"/>
    <n v="-15"/>
    <x v="11"/>
    <n v="15"/>
  </r>
  <r>
    <d v="2026-03-09T00:00:00"/>
    <s v=" WDL TFR   UPI/DR/432772476513/KESHAVA /YESB/paytmqr5vc/P  aym   0097690162095 AT 01868 DIESEL LOCO WORKS(VARANASI)"/>
    <s v=""/>
    <n v="300"/>
    <m/>
    <n v="436259.35"/>
    <x v="11"/>
    <x v="1"/>
    <x v="3"/>
    <n v="-300"/>
    <x v="11"/>
    <n v="300"/>
  </r>
  <r>
    <d v="2026-03-09T00:00:00"/>
    <s v=" WDL TFR   UPI/DR/775791019682/RAM  SINGH/SBIN/rsingh.vns  /Pa   0097690162095 AT 01868 DIESEL LOCO WORKS(VARANASI)"/>
    <s v=""/>
    <n v="1000"/>
    <m/>
    <n v="435259.35"/>
    <x v="11"/>
    <x v="1"/>
    <x v="3"/>
    <n v="-1000"/>
    <x v="11"/>
    <n v="1000"/>
  </r>
  <r>
    <d v="2026-03-10T00:00:00"/>
    <s v=" WDL TFR   UPI/DR/776262491085/Afjal An/YESB/paytmqr6ns/P  aym   0097691162095 AT 01868 DIESEL LOCO WORKS(VARANASI)"/>
    <s v=""/>
    <n v="15"/>
    <m/>
    <n v="435244.35"/>
    <x v="11"/>
    <x v="1"/>
    <x v="3"/>
    <n v="-15"/>
    <x v="11"/>
    <n v="15"/>
  </r>
  <r>
    <d v="2026-03-11T00:00:00"/>
    <s v=" WDL TFR   UPI/DR/156183416561/AMWAY IN/AIRP/amwayindia/P  urc   0097692162094 AT 01868 DIESEL LOCO WORKS(VARANASI)"/>
    <s v=""/>
    <n v="5577"/>
    <m/>
    <n v="429667.35"/>
    <x v="11"/>
    <x v="1"/>
    <x v="3"/>
    <n v="-5577"/>
    <x v="11"/>
    <n v="5577"/>
  </r>
  <r>
    <d v="2026-03-11T00:00:00"/>
    <s v=" WDL TFR   UPI/DR/039019305217/JITENDRA/BARB/jksharma80/P  aym   0097692162094 AT 01868 DIESEL LOCO WORKS(VARANASI)"/>
    <s v=""/>
    <n v="400"/>
    <m/>
    <n v="429267.35"/>
    <x v="11"/>
    <x v="1"/>
    <x v="3"/>
    <n v="-400"/>
    <x v="11"/>
    <n v="400"/>
  </r>
  <r>
    <d v="2026-03-11T00:00:00"/>
    <s v=" WDL TFR   UPI/DR/060923439867/Afjal An/YESB/paytmqr6ns/P  aym   0097692162094 AT 01868 DIESEL LOCO WORKS(VARANASI)"/>
    <s v=""/>
    <n v="15"/>
    <m/>
    <n v="429252.35"/>
    <x v="11"/>
    <x v="1"/>
    <x v="3"/>
    <n v="-15"/>
    <x v="11"/>
    <n v="15"/>
  </r>
  <r>
    <d v="2026-03-11T00:00:00"/>
    <s v=" WDL TFR   UPI/DR/396249798102/UNITED I/PSIB/imam.mojiz/P  aym   0097692162094 AT 01868 DIESEL LOCO WORKS(VARANASI)"/>
    <s v=""/>
    <n v="33000"/>
    <m/>
    <n v="396252.35"/>
    <x v="11"/>
    <x v="1"/>
    <x v="3"/>
    <n v="-33000"/>
    <x v="11"/>
    <n v="33000"/>
  </r>
  <r>
    <d v="2026-03-11T00:00:00"/>
    <s v=" WDL TFR   UPI/DR/983799088382/DIVYA SI/YESB/paytmqr1kw/P  aym   0097692162094 AT 01868 DIESEL LOCO WORKS(VARANASI)"/>
    <s v=""/>
    <n v="1200"/>
    <m/>
    <n v="395052.35"/>
    <x v="11"/>
    <x v="1"/>
    <x v="3"/>
    <n v="-1200"/>
    <x v="11"/>
    <n v="1200"/>
  </r>
  <r>
    <d v="2026-03-11T00:00:00"/>
    <s v=" WDL TFR   UPI/DR/183193696927/SOHRAB A/PUNB/6387977900/P  aym   0097692162094 AT 01868 DIESEL LOCO WORKS(VARANASI)"/>
    <s v=""/>
    <n v="25000"/>
    <m/>
    <n v="370052.35"/>
    <x v="11"/>
    <x v="1"/>
    <x v="3"/>
    <n v="-25000"/>
    <x v="11"/>
    <n v="25000"/>
  </r>
  <r>
    <d v="2026-03-11T00:00:00"/>
    <s v=" WDL TFR   UPI/DR/762091380767/Afjal An/YESB/paytmqr6ns/P  aym   0097692162094 AT 01868 DIESEL LOCO WORKS(VARANASI)"/>
    <s v=""/>
    <n v="15"/>
    <m/>
    <n v="370037.35"/>
    <x v="11"/>
    <x v="1"/>
    <x v="3"/>
    <n v="-15"/>
    <x v="11"/>
    <n v="15"/>
  </r>
  <r>
    <d v="2026-03-12T00:00:00"/>
    <s v=" DEP TFR   UPI/CR/607155346468/AKSHAY  /SBIN/akshaykant/  UPI   0097735162098 AT 01868 DIESEL LOCO WORKS(VARANASI)"/>
    <s v=""/>
    <m/>
    <n v="1697"/>
    <n v="371734.35"/>
    <x v="11"/>
    <x v="0"/>
    <x v="3"/>
    <n v="1697"/>
    <x v="11"/>
    <n v="1697"/>
  </r>
  <r>
    <d v="2026-03-12T00:00:00"/>
    <s v=" WDL TFR   UPI/DR/995566099752/JAY PRAK/BARB/jayprakash/P  aym   0097693162093 AT 01868 DIESEL LOCO WORKS(VARANASI)"/>
    <s v=""/>
    <n v="737"/>
    <m/>
    <n v="370997.35"/>
    <x v="11"/>
    <x v="1"/>
    <x v="3"/>
    <n v="-737"/>
    <x v="11"/>
    <n v="737"/>
  </r>
  <r>
    <d v="2026-03-12T00:00:00"/>
    <s v=" WDL TFR   UPI/DR/423248577594/KHAN FAB/SBIN/90260510@a/P  aym   0097693162093 AT 01868 DIESEL LOCO WORKS(VARANASI)"/>
    <s v=""/>
    <n v="37934"/>
    <m/>
    <n v="333063.34999999998"/>
    <x v="11"/>
    <x v="1"/>
    <x v="3"/>
    <n v="-37934"/>
    <x v="11"/>
    <n v="37934"/>
  </r>
  <r>
    <d v="2026-03-13T00:00:00"/>
    <s v=" WDL TFR   UPI/DR/596358009493/ARTI  JA/SBIN/artijaiswa/P  aym   0097694162092 AT 01868 DIESEL LOCO WORKS(VARANASI)"/>
    <s v=""/>
    <n v="29113"/>
    <m/>
    <n v="303950.34999999998"/>
    <x v="11"/>
    <x v="1"/>
    <x v="3"/>
    <n v="-29113"/>
    <x v="11"/>
    <n v="29113"/>
  </r>
  <r>
    <d v="2026-03-13T00:00:00"/>
    <s v=" WDL TFR   UPI/DR/853448322089/ARTI  JA/SBIN/artijaiswa/P  aym   0097694162092 AT 01868 DIESEL LOCO WORKS(VARANASI)"/>
    <s v=""/>
    <n v="580"/>
    <m/>
    <n v="303370.34999999998"/>
    <x v="11"/>
    <x v="1"/>
    <x v="3"/>
    <n v="-580"/>
    <x v="11"/>
    <n v="580"/>
  </r>
  <r>
    <d v="2026-03-13T00:00:00"/>
    <s v=" WDL TFR   UPI/DR/980808739819/Laxmi EL/UTIB/gpay-11258/P  aym   0097694162092 AT 01868 DIESEL LOCO WORKS(VARANASI)"/>
    <s v=""/>
    <n v="380"/>
    <m/>
    <n v="302990.34999999998"/>
    <x v="11"/>
    <x v="1"/>
    <x v="3"/>
    <n v="-380"/>
    <x v="11"/>
    <n v="380"/>
  </r>
  <r>
    <d v="2026-03-13T00:00:00"/>
    <s v=" WDL TFR   UPI/DR/575133901922/Afjal An/YESB/paytmqr6ns/P  aym   0097694162092 AT 01868 DIESEL LOCO WORKS(VARANASI)"/>
    <s v=""/>
    <n v="17"/>
    <m/>
    <n v="302973.34999999998"/>
    <x v="11"/>
    <x v="1"/>
    <x v="3"/>
    <n v="-17"/>
    <x v="11"/>
    <n v="17"/>
  </r>
  <r>
    <d v="2026-03-13T00:00:00"/>
    <s v=" WDL TFR   UPI/DR/147761234107/KESHAVA /YESB/paytmqr5vc/P  aym   0097694162092 AT 01868 DIESEL LOCO WORKS(VARANASI)"/>
    <s v=""/>
    <n v="350"/>
    <m/>
    <n v="302623.34999999998"/>
    <x v="11"/>
    <x v="1"/>
    <x v="3"/>
    <n v="-350"/>
    <x v="11"/>
    <n v="350"/>
  </r>
  <r>
    <d v="2026-03-13T00:00:00"/>
    <s v=" WDL TFR   UPI/DR/341579936928/SOMAN  T/SBIN/st4981078@/P  aym   0097694162092 AT 01868 DIESEL LOCO WORKS(VARANASI)"/>
    <s v=""/>
    <n v="480"/>
    <m/>
    <n v="302143.34999999998"/>
    <x v="11"/>
    <x v="1"/>
    <x v="3"/>
    <n v="-480"/>
    <x v="11"/>
    <n v="480"/>
  </r>
  <r>
    <d v="2026-03-14T00:00:00"/>
    <s v=" WDL TFR   UPI/DR/787089626789/Afjal An/YESB/paytmqr6ns/P  aym   0097695162091 AT 01868 DIESEL LOCO WORKS(VARANASI)"/>
    <s v=""/>
    <n v="15"/>
    <m/>
    <n v="302128.34999999998"/>
    <x v="11"/>
    <x v="1"/>
    <x v="3"/>
    <n v="-15"/>
    <x v="11"/>
    <n v="15"/>
  </r>
  <r>
    <d v="2026-03-15T00:00:00"/>
    <s v=" WDL TFR   UPI/DR/520898114785/VINOD VA/YESB/paytm.s22c/P  aym   0097696162090 AT 01868 DIESEL LOCO WORKS(VARANASI)"/>
    <s v=""/>
    <n v="1565"/>
    <m/>
    <n v="300563.34999999998"/>
    <x v="11"/>
    <x v="1"/>
    <x v="3"/>
    <n v="-1565"/>
    <x v="11"/>
    <n v="1565"/>
  </r>
  <r>
    <d v="2026-03-15T00:00:00"/>
    <s v=" WDL TFR   UPI/DR/286894641062/RAVI SHA/YESB/paytmqr67l/P  aym   0097696162090 AT 01868 DIESEL LOCO WORKS(VARANASI)"/>
    <s v=""/>
    <n v="594"/>
    <m/>
    <n v="299969.34999999998"/>
    <x v="11"/>
    <x v="1"/>
    <x v="3"/>
    <n v="-594"/>
    <x v="11"/>
    <n v="594"/>
  </r>
  <r>
    <d v="2026-03-16T00:00:00"/>
    <s v=" WDL TFR   UPI/DR/889439178637/BRIJESH /YESB/Q388579857/P  aym   0097690162095 AT 01868 DIESEL LOCO WORKS(VARANASI)"/>
    <s v=""/>
    <n v="470"/>
    <m/>
    <n v="299499.34999999998"/>
    <x v="11"/>
    <x v="1"/>
    <x v="3"/>
    <n v="-470"/>
    <x v="11"/>
    <n v="470"/>
  </r>
  <r>
    <d v="2026-03-16T00:00:00"/>
    <s v=" WDL TFR   UPI/DR/527892265494/Afjal An/YESB/paytmqr6ns/P  aym   0097690162095 AT 01868 DIESEL LOCO WORKS(VARANASI)"/>
    <s v=""/>
    <n v="15"/>
    <m/>
    <n v="299484.34999999998"/>
    <x v="11"/>
    <x v="1"/>
    <x v="3"/>
    <n v="-15"/>
    <x v="11"/>
    <n v="15"/>
  </r>
  <r>
    <d v="2026-03-17T00:00:00"/>
    <s v=" WDL TFR   SBIYA26076140903851394769-PAIRenewal   0043922920432   OF SBI GENERAL INSURANCE AT 01868 DIESEL LOCO WORKS(VARANASI)"/>
    <s v=""/>
    <n v="1000"/>
    <m/>
    <n v="298484.34999999998"/>
    <x v="11"/>
    <x v="1"/>
    <x v="8"/>
    <n v="-1000"/>
    <x v="11"/>
    <n v="1000"/>
  </r>
  <r>
    <d v="2026-03-17T00:00:00"/>
    <s v=" WDL TFR   UPI/DR/322940736543/Amazon I/RATN/amazon@rap/  You   0097691162095 AT 01868 DIESEL LOCO WORKS(VARANASI)"/>
    <s v=""/>
    <n v="704"/>
    <m/>
    <n v="297780.34999999998"/>
    <x v="11"/>
    <x v="1"/>
    <x v="3"/>
    <n v="-704"/>
    <x v="11"/>
    <n v="704"/>
  </r>
  <r>
    <d v="2026-03-17T00:00:00"/>
    <s v=" WDL TFR   UPI/DR/289118631146/Uttar Pr/HDFC/billdeskpg/  Pay   0097691162095 AT 01868 DIESEL LOCO WORKS(VARANASI)"/>
    <s v=""/>
    <n v="5000"/>
    <m/>
    <n v="292780.34999999998"/>
    <x v="11"/>
    <x v="1"/>
    <x v="3"/>
    <n v="-5000"/>
    <x v="11"/>
    <n v="5000"/>
  </r>
  <r>
    <d v="2026-03-17T00:00:00"/>
    <s v=" ATM WDL   ATM CASH 925            ATM DLW               VARAN"/>
    <s v=""/>
    <n v="20000"/>
    <m/>
    <n v="272780.34999999998"/>
    <x v="11"/>
    <x v="1"/>
    <x v="7"/>
    <n v="-20000"/>
    <x v="11"/>
    <n v="20000"/>
  </r>
  <r>
    <d v="2026-03-17T00:00:00"/>
    <s v=" WDL TFR   UPI/DR/389594108750/Afjal An/YESB/paytmqr6ns/P  aym   0097691162095 AT 01868 DIESEL LOCO WORKS(VARANASI)"/>
    <s v=""/>
    <n v="15"/>
    <m/>
    <n v="272765.34999999998"/>
    <x v="11"/>
    <x v="1"/>
    <x v="3"/>
    <n v="-15"/>
    <x v="11"/>
    <n v="15"/>
  </r>
  <r>
    <d v="2026-03-18T00:00:00"/>
    <s v=" WDL TFR   UPI/DR/001557163345/Afjal An/YESB/paytmqr6ns/P  aym   0097692162094 AT 01868 DIESEL LOCO WORKS(VARANASI)"/>
    <s v=""/>
    <n v="16"/>
    <m/>
    <n v="272749.34999999998"/>
    <x v="11"/>
    <x v="1"/>
    <x v="3"/>
    <n v="-16"/>
    <x v="11"/>
    <n v="16"/>
  </r>
  <r>
    <d v="2026-03-18T00:00:00"/>
    <s v=" WDL TFR   UPI/DR/560144436357/BIKAS  R/BKID/rai2211070/P  aym   0097692162094 AT 01868 DIESEL LOCO WORKS(VARANASI)"/>
    <s v=""/>
    <n v="500"/>
    <m/>
    <n v="272249.34999999998"/>
    <x v="11"/>
    <x v="1"/>
    <x v="3"/>
    <n v="-500"/>
    <x v="11"/>
    <n v="500"/>
  </r>
  <r>
    <d v="2026-03-18T00:00:00"/>
    <s v=" DEP TFR   0043740432393 OF Mr. ANOOP SINGH   VATSA AT 01868 DIESEL LOCO WORKS(VARANASI)"/>
    <s v=""/>
    <m/>
    <n v="1000000"/>
    <n v="1272249.3500000001"/>
    <x v="11"/>
    <x v="0"/>
    <x v="9"/>
    <n v="1000000"/>
    <x v="11"/>
    <n v="1000000"/>
  </r>
  <r>
    <d v="2026-03-18T00:00:00"/>
    <s v=" WDL TFR   UPI/DR/283785607025/MONA KAK/YESB/paytmqr6x1/P  aym   0097692162094 AT 01868 DIESEL LOCO WORKS(VARANASI)"/>
    <s v=""/>
    <n v="350"/>
    <m/>
    <n v="1271899.3500000001"/>
    <x v="11"/>
    <x v="1"/>
    <x v="3"/>
    <n v="-350"/>
    <x v="11"/>
    <n v="350"/>
  </r>
  <r>
    <d v="2026-03-19T00:00:00"/>
    <s v=" WDL TFR   UPI/DR/833152898100/BP BHU/YESB/paytm.s1g4/Pay  men   0097693162093 AT 01868 DIESEL LOCO WORKS(VARANASI)"/>
    <s v=""/>
    <n v="350"/>
    <m/>
    <n v="1271549.3500000001"/>
    <x v="11"/>
    <x v="1"/>
    <x v="3"/>
    <n v="-350"/>
    <x v="11"/>
    <n v="350"/>
  </r>
  <r>
    <d v="2026-03-19T00:00:00"/>
    <s v=" WDL TFR   UPI/DR/881345096913/VIJAYADA/SBIN/1vd1s1@sbi/P  aym   0097693162093 AT 01868 DIESEL LOCO WORKS(VARANASI)"/>
    <s v=""/>
    <n v="2100"/>
    <m/>
    <n v="1269449.3500000001"/>
    <x v="11"/>
    <x v="1"/>
    <x v="3"/>
    <n v="-2100"/>
    <x v="11"/>
    <n v="2100"/>
  </r>
  <r>
    <d v="2026-03-19T00:00:00"/>
    <s v=" WDL TFR   UPI/DR/577380084696/ALIGN AS/YESB/paytmqr1gf/P  aym   0097693162093 AT 01868 DIESEL LOCO WORKS(VARANASI)"/>
    <s v=""/>
    <n v="1000"/>
    <m/>
    <n v="1268449.3500000001"/>
    <x v="11"/>
    <x v="1"/>
    <x v="3"/>
    <n v="-1000"/>
    <x v="11"/>
    <n v="1000"/>
  </r>
  <r>
    <d v="2026-03-19T00:00:00"/>
    <s v=" WDL TFR   UPI/DR/223392198342/Mohit  S/SBIN/6393236355/P  aym   0097693162093 AT 01868 DIESEL LOCO WORKS(VARANASI)"/>
    <s v=""/>
    <n v="870"/>
    <m/>
    <n v="1267579.3500000001"/>
    <x v="11"/>
    <x v="1"/>
    <x v="3"/>
    <n v="-870"/>
    <x v="11"/>
    <n v="870"/>
  </r>
  <r>
    <d v="2026-03-20T00:00:00"/>
    <s v=" WDL TFR   UPI/DR/376872583356/Amazon I/UTIB/amazonupi@/  You   0097693162093 AT 01868 DIESEL LOCO WORKS(VARANASI)"/>
    <s v=""/>
    <n v="5094"/>
    <m/>
    <n v="1262485.3500000001"/>
    <x v="11"/>
    <x v="1"/>
    <x v="3"/>
    <n v="-5094"/>
    <x v="11"/>
    <n v="5094"/>
  </r>
  <r>
    <d v="2026-03-20T00:00:00"/>
    <s v=" WDL TFR   UPI/DR/884842208820/MADHU SH/YESB/Q905930552/P  aym   0097694162092 AT 01868 DIESEL LOCO WORKS(VARANASI)"/>
    <s v=""/>
    <n v="740"/>
    <m/>
    <n v="1261745.3500000001"/>
    <x v="11"/>
    <x v="1"/>
    <x v="3"/>
    <n v="-740"/>
    <x v="11"/>
    <n v="740"/>
  </r>
  <r>
    <d v="2026-03-21T00:00:00"/>
    <s v=" WDL TFR   UPI/DR/352015846850/NEHA BRI/BARB/sunnyailan/P  aym   0097695162091 AT 01868 DIESEL LOCO WORKS(VARANASI)"/>
    <s v=""/>
    <n v="25500"/>
    <m/>
    <n v="1236245.3500000001"/>
    <x v="11"/>
    <x v="1"/>
    <x v="3"/>
    <n v="-25500"/>
    <x v="11"/>
    <n v="25500"/>
  </r>
  <r>
    <d v="2026-03-21T00:00:00"/>
    <s v=" WDL TFR   UPI/DR/640288948105/CHHEDI LAL/BARB/9453749325  /Pa   0097695162091 AT 01868 DIESEL LOCO WORKS(VARANASI)"/>
    <s v=""/>
    <n v="15500"/>
    <m/>
    <n v="1220745.3500000001"/>
    <x v="11"/>
    <x v="1"/>
    <x v="3"/>
    <n v="-15500"/>
    <x v="11"/>
    <n v="15500"/>
  </r>
  <r>
    <d v="2026-03-21T00:00:00"/>
    <s v=" WDL TFR   UPI/DR/806157257173/JITENDRA/UBIN/jitendrapr/P  aym   0097695162091 AT 01868 DIESEL LOCO WORKS(VARANASI)"/>
    <s v=""/>
    <n v="1300"/>
    <m/>
    <n v="1219445.3500000001"/>
    <x v="11"/>
    <x v="1"/>
    <x v="3"/>
    <n v="-1300"/>
    <x v="11"/>
    <n v="1300"/>
  </r>
  <r>
    <d v="2026-03-22T00:00:00"/>
    <s v=" WDL TFR   UPI/DR/620831831100/Mr RAJ K/UNBA/BHARATPE.9/  Pay   0097696162090 AT 01868 DIESEL LOCO WORKS(VARANASI)"/>
    <s v=""/>
    <n v="70"/>
    <m/>
    <n v="1219375.3500000001"/>
    <x v="11"/>
    <x v="1"/>
    <x v="3"/>
    <n v="-70"/>
    <x v="11"/>
    <n v="70"/>
  </r>
  <r>
    <d v="2026-03-22T00:00:00"/>
    <s v=" WDL TFR   UPI/DR/740929491378/NEERAJ K/YESB/paytmqr700/P  aym   0097696162090 AT 01868 DIESEL LOCO WORKS(VARANASI)"/>
    <s v=""/>
    <n v="500"/>
    <m/>
    <n v="1218875.3500000001"/>
    <x v="11"/>
    <x v="1"/>
    <x v="3"/>
    <n v="-500"/>
    <x v="11"/>
    <n v="500"/>
  </r>
  <r>
    <d v="2026-03-24T00:00:00"/>
    <s v=" DEP TFR   DBL P0326049A747D IOCL LPG SUBSIDY IOAP34D     0097648105218 AT 01868 DIESEL LOCO WORKS(VARANASI)"/>
    <s v=""/>
    <m/>
    <n v="59.52"/>
    <n v="1218934.8700000001"/>
    <x v="11"/>
    <x v="0"/>
    <x v="6"/>
    <n v="59.52"/>
    <x v="11"/>
    <n v="59.52"/>
  </r>
  <r>
    <d v="2026-03-25T00:00:00"/>
    <s v=" WDL TFR   UPI/DR/608438725170/Inner Bh/YESB/M22Y6ZFBCG/C  oll   0097692162094 AT 01868 DIESEL LOCO WORKS(VARANASI)"/>
    <s v=""/>
    <n v="7"/>
    <m/>
    <n v="1218927.8700000001"/>
    <x v="11"/>
    <x v="1"/>
    <x v="3"/>
    <n v="-7"/>
    <x v="11"/>
    <n v="7"/>
  </r>
  <r>
    <d v="2026-03-25T00:00:00"/>
    <s v=" WDL TFR   UPI/DR/711979300719/Bank Acc/PUNB/4045000102/P  aym   0097692162094 AT 01868 DIESEL LOCO WORKS(VARANASI)"/>
    <s v=""/>
    <n v="10000"/>
    <m/>
    <n v="1208927.8700000001"/>
    <x v="11"/>
    <x v="1"/>
    <x v="3"/>
    <n v="-10000"/>
    <x v="11"/>
    <n v="10000"/>
  </r>
  <r>
    <d v="2026-03-25T00:00:00"/>
    <s v=" INTERES  T CREDIT"/>
    <s v=""/>
    <m/>
    <n v="6693"/>
    <n v="1215620.8700000001"/>
    <x v="11"/>
    <x v="0"/>
    <x v="6"/>
    <n v="6693"/>
    <x v="11"/>
    <n v="6693"/>
  </r>
  <r>
    <d v="2026-03-26T00:00:00"/>
    <s v=" WDL TFR   UPI/DR/595756926285/SONI/UCBA/9026583045/Paym  ent   0097693162093 AT 01868 DIESEL LOCO WORKS(VARANASI)"/>
    <s v=""/>
    <n v="5000"/>
    <m/>
    <n v="1210620.8700000001"/>
    <x v="11"/>
    <x v="1"/>
    <x v="3"/>
    <n v="-5000"/>
    <x v="11"/>
    <n v="5000"/>
  </r>
  <r>
    <d v="2026-03-26T00:00:00"/>
    <s v=" WDL TFR   UPI/DR/017318087620/Blinkit/YESB/paytm-blin/Bl  ink   0097693162093 AT 01868 DIESEL LOCO WORKS(VARANASI)"/>
    <s v=""/>
    <n v="321"/>
    <m/>
    <n v="1210299.8700000001"/>
    <x v="11"/>
    <x v="1"/>
    <x v="3"/>
    <n v="-321"/>
    <x v="11"/>
    <n v="321"/>
  </r>
  <r>
    <d v="2026-03-27T00:00:00"/>
    <s v=" WDL TFR   UPI/DR/791300425886/AMIT AGR/BKID/shivyavns-/P  aym   0097694162092 AT 01868 DIESEL LOCO WORKS(VARANASI)"/>
    <s v=""/>
    <n v="2100"/>
    <m/>
    <n v="1208199.8700000001"/>
    <x v="11"/>
    <x v="1"/>
    <x v="3"/>
    <n v="-2100"/>
    <x v="11"/>
    <n v="2100"/>
  </r>
  <r>
    <d v="2026-03-28T00:00:00"/>
    <s v=" WDL TFR   UPI/DR/495893624358/SONI/UCBA/9026583045/Paym  ent   0097695162091 AT 01868 DIESEL LOCO WORKS(VARANASI)"/>
    <s v=""/>
    <n v="5000"/>
    <m/>
    <n v="1203199.8700000001"/>
    <x v="11"/>
    <x v="1"/>
    <x v="3"/>
    <n v="-5000"/>
    <x v="11"/>
    <n v="5000"/>
  </r>
  <r>
    <d v="2026-03-28T00:00:00"/>
    <s v=" WDL TFR    UPI/DR/457058412342/ASHISH C/HDFC/9648591234/  Paym   0097695162091 AT 01868 DIESEL LOCO WORKS(VARANASI)"/>
    <s v=""/>
    <n v="7000"/>
    <m/>
    <n v="1196199.8700000001"/>
    <x v="11"/>
    <x v="1"/>
    <x v="3"/>
    <n v="-7000"/>
    <x v="11"/>
    <n v="7000"/>
  </r>
  <r>
    <d v="2026-04-02T00:00:00"/>
    <s v=" WDL TFR   UPI/DR/609252940367/Inner Bh/YESB/M22Y6ZFBCG/S_x000a_ ubs   0097693162093 AT 01868 DIESEL LOCO WORKS(VARANASI)"/>
    <s v=""/>
    <n v="399"/>
    <m/>
    <n v="1181745.8700000001"/>
    <x v="12"/>
    <x v="1"/>
    <x v="3"/>
    <n v="-399"/>
    <x v="12"/>
    <n v="399"/>
  </r>
  <r>
    <d v="2026-04-02T00:00:00"/>
    <s v=" DEBIT   ACHDr YESB00709_x000a_ 000028661 TP ACH INDIANE"/>
    <s v=""/>
    <n v="2000"/>
    <m/>
    <n v="1179745.8700000001"/>
    <x v="12"/>
    <x v="1"/>
    <x v="1"/>
    <n v="-2000"/>
    <x v="12"/>
    <n v="2000"/>
  </r>
  <r>
    <d v="2026-04-02T00:00:00"/>
    <s v=" CEMTEX DEP   Sa_x000a_ lary of Mar 2026"/>
    <s v=""/>
    <m/>
    <n v="117589"/>
    <n v="1297334.8700000001"/>
    <x v="12"/>
    <x v="0"/>
    <x v="0"/>
    <n v="117589"/>
    <x v="12"/>
    <n v="117589"/>
  </r>
  <r>
    <d v="2026-04-02T00:00:00"/>
    <s v=" DEBIT   ACHDr YESB00709_x000a_ 000028661 TP ACH INDIANE"/>
    <s v=""/>
    <n v="2000"/>
    <m/>
    <n v="1295334.8700000001"/>
    <x v="12"/>
    <x v="1"/>
    <x v="1"/>
    <n v="-2000"/>
    <x v="12"/>
    <n v="2000"/>
  </r>
  <r>
    <d v="2026-04-02T00:00:00"/>
    <s v=" DEBIT   ACHDr YESB00709_x000a_ 000028661 TP ACH INDIANE"/>
    <s v=""/>
    <n v="3000"/>
    <m/>
    <n v="1292334.8700000001"/>
    <x v="12"/>
    <x v="1"/>
    <x v="1"/>
    <n v="-3000"/>
    <x v="12"/>
    <n v="3000"/>
  </r>
  <r>
    <d v="2026-04-02T00:00:00"/>
    <s v=" DEBIT   ACHDr YESB00709_x000a_ 000028661 TP ACH INDIANE"/>
    <s v=""/>
    <n v="5000"/>
    <m/>
    <n v="1287334.8700000001"/>
    <x v="12"/>
    <x v="1"/>
    <x v="1"/>
    <n v="-5000"/>
    <x v="12"/>
    <n v="5000"/>
  </r>
  <r>
    <d v="2026-04-02T00:00:00"/>
    <s v=" DEBIT   ACHDr YESB00709_x000a_ 000028661 TP ACH INDIANE"/>
    <s v=""/>
    <n v="2000"/>
    <m/>
    <n v="1285334.8700000001"/>
    <x v="12"/>
    <x v="1"/>
    <x v="1"/>
    <n v="-2000"/>
    <x v="12"/>
    <n v="2000"/>
  </r>
  <r>
    <d v="2026-04-02T00:00:00"/>
    <s v=" DEBIT   ACHDr NACH00_x000a_ 000000056369 ETMONEY"/>
    <s v=""/>
    <n v="1000"/>
    <m/>
    <n v="1284334.8700000001"/>
    <x v="12"/>
    <x v="1"/>
    <x v="2"/>
    <n v="-1000"/>
    <x v="12"/>
    <n v="1000"/>
  </r>
  <r>
    <d v="2026-04-02T00:00:00"/>
    <s v=" DEBIT   ACHDr NACH00_x000a_ 000000056369 ETMONEY"/>
    <s v=""/>
    <n v="1500"/>
    <m/>
    <n v="1282834.8700000001"/>
    <x v="12"/>
    <x v="1"/>
    <x v="2"/>
    <n v="-1500"/>
    <x v="12"/>
    <n v="1500"/>
  </r>
  <r>
    <d v="2026-04-02T00:00:00"/>
    <s v=" DIRECT DR   0044198135955 OF Mr. ANOOP SING_x000a_ H VATSA AT 01868 DIESEL LOCO WORKS(VARANASI)"/>
    <s v=""/>
    <n v="7717"/>
    <m/>
    <n v="1275117.8700000001"/>
    <x v="12"/>
    <x v="1"/>
    <x v="1"/>
    <n v="-7717"/>
    <x v="12"/>
    <n v="7717"/>
  </r>
  <r>
    <d v="2026-04-02T00:00:00"/>
    <s v=" DIRECT DR   0043745420032 OF Mr. ANOOP SING_x000a_ H VATSA AT 01868 DIESEL LOCO WORKS(VARANASI)"/>
    <s v=""/>
    <n v="8704"/>
    <m/>
    <n v="1266413.8700000001"/>
    <x v="12"/>
    <x v="1"/>
    <x v="1"/>
    <n v="-8704"/>
    <x v="12"/>
    <n v="8704"/>
  </r>
  <r>
    <d v="2026-04-02T00:00:00"/>
    <s v=" WDL TFR   UPI/DR/653121118232/SARDAR  /IOBA/8318182397/P_x000a_ aym   0097693162093 AT 01868 DIESEL LOCO WORKS(VARANASI)"/>
    <s v=""/>
    <n v="27500"/>
    <m/>
    <n v="1238913.8700000001"/>
    <x v="12"/>
    <x v="1"/>
    <x v="3"/>
    <n v="-27500"/>
    <x v="12"/>
    <n v="27500"/>
  </r>
  <r>
    <d v="2026-04-03T00:00:00"/>
    <s v=" ATM WDL   ATM CASH 6093140000_x000a_ 53 DLWVAR OLAND GANJ      VARA"/>
    <s v=""/>
    <n v="9000"/>
    <m/>
    <n v="1229913.8700000001"/>
    <x v="12"/>
    <x v="1"/>
    <x v="7"/>
    <n v="-9000"/>
    <x v="12"/>
    <n v="9000"/>
  </r>
  <r>
    <d v="2026-04-03T00:00:00"/>
    <s v=" WDL TFR   UPI/DR/854883635378/ANKIT SI/HDFC/9120732750/P_x000a_ aym   0097694162092 AT 01868 DIESEL LOCO WORKS(VARANASI)"/>
    <s v=""/>
    <n v="190"/>
    <m/>
    <n v="1229723.8700000001"/>
    <x v="12"/>
    <x v="1"/>
    <x v="3"/>
    <n v="-190"/>
    <x v="12"/>
    <n v="190"/>
  </r>
  <r>
    <d v="2026-04-03T00:00:00"/>
    <s v=" WDL TFR   UPI/DR/737926625508/SRIHIREN/SBIN/Q375413362/P_x000a_ aym   0097694162092 AT 01868 DIESEL LOCO WORKS(VARANASI)"/>
    <s v=""/>
    <n v="260"/>
    <m/>
    <n v="1229463.8700000001"/>
    <x v="12"/>
    <x v="1"/>
    <x v="3"/>
    <n v="-260"/>
    <x v="12"/>
    <n v="260"/>
  </r>
  <r>
    <d v="2026-04-04T00:00:00"/>
    <s v=" WDL TFR   UPI/DR/118279303141/SHAMBHAV/KKBK/7355395914/P_x000a_ aym   0097695162091 AT 01868 DIESEL LOCO WORKS(VARANASI)"/>
    <s v=""/>
    <n v="20000"/>
    <m/>
    <n v="1209463.8700000001"/>
    <x v="12"/>
    <x v="1"/>
    <x v="3"/>
    <n v="-20000"/>
    <x v="12"/>
    <n v="20000"/>
  </r>
  <r>
    <d v="2026-04-04T00:00:00"/>
    <s v=" DIRECT DR   0043740432393 OF Mr. ANOOP SING_x000a_ H VATSA AT 01868 DIESEL LOCO WORKS(VARANASI)"/>
    <s v=""/>
    <n v="60700"/>
    <m/>
    <n v="1148763.8700000001"/>
    <x v="12"/>
    <x v="1"/>
    <x v="1"/>
    <n v="-60700"/>
    <x v="12"/>
    <n v="60700"/>
  </r>
  <r>
    <d v="2026-04-04T00:00:00"/>
    <s v=" DIRECT DR   0043740438351 OF Mr. ANOOP SING_x000a_ H VATSA AT 01868 DIESEL LOCO WORKS(VARANASI)"/>
    <s v=""/>
    <n v="6280"/>
    <m/>
    <n v="1142483.8700000001"/>
    <x v="12"/>
    <x v="1"/>
    <x v="1"/>
    <n v="-6280"/>
    <x v="12"/>
    <n v="6280"/>
  </r>
  <r>
    <d v="2026-04-04T00:00:00"/>
    <s v=" WDL TFR   UPI/DR/834637610439/MANISH K/BARB/ak18554121/P_x000a_ aym   0097695162091 AT 01868 DIESEL LOCO WORKS(VARANASI)"/>
    <s v=""/>
    <n v="250"/>
    <m/>
    <n v="1142233.8700000001"/>
    <x v="12"/>
    <x v="1"/>
    <x v="3"/>
    <n v="-250"/>
    <x v="12"/>
    <n v="250"/>
  </r>
  <r>
    <d v="2026-04-04T00:00:00"/>
    <s v=" WDL TFR   UPI/DR/347506965121/LANGULI /YESB/Q565820345/P_x000a_ aym   0097695162091 AT 01868 DIESEL LOCO WORKS(VARANASI)"/>
    <s v=""/>
    <n v="610"/>
    <m/>
    <n v="1141623.8700000001"/>
    <x v="12"/>
    <x v="1"/>
    <x v="3"/>
    <n v="-610"/>
    <x v="12"/>
    <n v="610"/>
  </r>
  <r>
    <d v="2026-04-04T00:00:00"/>
    <s v=" WDL TFR   UPI/DR/134219227100/Mr RAIYA/YESB/Q420723617/P_x000a_ aym   0097695162091 AT 01868 DIESEL LOCO WORKS(VARANASI)"/>
    <s v=""/>
    <n v="250"/>
    <m/>
    <n v="1141373.8700000001"/>
    <x v="12"/>
    <x v="1"/>
    <x v="3"/>
    <n v="-250"/>
    <x v="12"/>
    <n v="250"/>
  </r>
  <r>
    <d v="2026-04-04T00:00:00"/>
    <s v=" WDL TFR   UPI/DR/877114623311/MANOJ KU/YESB/paytmqr67k/P_x000a_ aym   0097695162091 AT 01868 DIESEL LOCO WORKS(VARANASI)"/>
    <s v=""/>
    <n v="260"/>
    <m/>
    <n v="1141113.8700000001"/>
    <x v="12"/>
    <x v="1"/>
    <x v="3"/>
    <n v="-260"/>
    <x v="12"/>
    <n v="260"/>
  </r>
  <r>
    <d v="2026-04-04T00:00:00"/>
    <s v=" WDL TFR   UPI/DR/281234096351/Jai Ma D/UTIB/gpay-11178/P_x000a_ aym   0097695162091 AT 01868 DIESEL LOCO WORKS(VARANASI)"/>
    <s v=""/>
    <n v="30"/>
    <m/>
    <n v="1141083.8700000001"/>
    <x v="12"/>
    <x v="1"/>
    <x v="3"/>
    <n v="-30"/>
    <x v="12"/>
    <n v="30"/>
  </r>
  <r>
    <d v="2026-04-05T00:00:00"/>
    <s v=" WDL TFR   UPI/DR/609503289390/Ketto On/YESB/paytm-8772/O_x000a_ idO   0097696162090 AT 01868 DIESEL LOCO WORKS(VARANASI)"/>
    <s v=""/>
    <n v="50"/>
    <m/>
    <n v="1141033.8700000001"/>
    <x v="12"/>
    <x v="1"/>
    <x v="3"/>
    <n v="-50"/>
    <x v="12"/>
    <n v="50"/>
  </r>
  <r>
    <d v="2026-04-05T00:00:00"/>
    <s v=" WDL TFR   UPI/DR/793750723410/AMIT CHA/YESB/Q036743270/P_x000a_ aym   0097696162090 AT 01868 DIESEL LOCO WORKS(VARANASI)"/>
    <s v=""/>
    <n v="387"/>
    <m/>
    <n v="1140646.8700000001"/>
    <x v="12"/>
    <x v="1"/>
    <x v="3"/>
    <n v="-387"/>
    <x v="12"/>
    <n v="387"/>
  </r>
  <r>
    <d v="2026-04-05T00:00:00"/>
    <s v=" WDL TFR   UPI/DR/163664644226/magicmed/UTIB/7710918782/P_x000a_ aym   0097696162090 AT 01868 DIESEL LOCO WORKS(VARANASI)"/>
    <s v=""/>
    <n v="1048"/>
    <m/>
    <n v="1139598.8700000001"/>
    <x v="12"/>
    <x v="1"/>
    <x v="3"/>
    <n v="-1048"/>
    <x v="12"/>
    <n v="1048"/>
  </r>
  <r>
    <d v="2026-04-05T00:00:00"/>
    <s v=" WDL TFR   UPI/DR/293339067383/Mishra A/YESB/paytmqr6kw/P_x000a_ aym   0097696162090 AT 01868 DIESEL LOCO WORKS(VARANASI)"/>
    <s v=""/>
    <n v="1000"/>
    <m/>
    <n v="1138598.8700000001"/>
    <x v="12"/>
    <x v="1"/>
    <x v="3"/>
    <n v="-1000"/>
    <x v="12"/>
    <n v="1000"/>
  </r>
  <r>
    <d v="2026-04-06T00:00:00"/>
    <s v=" DEBIT   ACHDr YESB00709_x000a_ 000028661 TP ACH INDIANE"/>
    <s v=""/>
    <n v="10000"/>
    <m/>
    <n v="1128598.8700000001"/>
    <x v="12"/>
    <x v="1"/>
    <x v="1"/>
    <n v="-10000"/>
    <x v="12"/>
    <n v="10000"/>
  </r>
  <r>
    <d v="2026-04-06T00:00:00"/>
    <s v=" WDL TFR   UPI/DR/415069672646/ARVIND K/SBIN/9670261009/P_x000a_ aym   0097690162095 AT 01868 DIESEL LOCO WORKS(VARANASI)"/>
    <s v=""/>
    <n v="345"/>
    <m/>
    <n v="1128253.8700000001"/>
    <x v="12"/>
    <x v="1"/>
    <x v="3"/>
    <n v="-345"/>
    <x v="12"/>
    <n v="345"/>
  </r>
  <r>
    <d v="2026-04-06T00:00:00"/>
    <s v=" WDL TFR   UPI/DR/045520495824/ANIL KUMAR/UTIB/gpay-11232_x000a_ /Pa   0097690162095 AT 01868 DIESEL LOCO WORKS(VARANASI)"/>
    <s v=""/>
    <n v="25000"/>
    <m/>
    <n v="1103253.8700000001"/>
    <x v="12"/>
    <x v="1"/>
    <x v="3"/>
    <n v="-25000"/>
    <x v="12"/>
    <n v="25000"/>
  </r>
  <r>
    <d v="2026-04-06T00:00:00"/>
    <s v=" WDL TFR   UPI/DR/808577593471/SARDAR  /IOBA/8318182397/P_x000a_ aym   0097690162095 AT 01868 DIESEL LOCO WORKS(VARANASI)"/>
    <s v=""/>
    <n v="15500"/>
    <m/>
    <n v="1087753.8700000001"/>
    <x v="12"/>
    <x v="1"/>
    <x v="3"/>
    <n v="-15500"/>
    <x v="12"/>
    <n v="15500"/>
  </r>
  <r>
    <d v="2026-04-06T00:00:00"/>
    <s v=" WDL TFR   UPI/DR/109625277863/SONI/UCBA/9026583045/Paym_x000a_ ent   0097690162095 AT 01868 DIESEL LOCO WORKS(VARANASI)"/>
    <s v=""/>
    <n v="5000"/>
    <m/>
    <n v="1082753.8700000001"/>
    <x v="12"/>
    <x v="1"/>
    <x v="3"/>
    <n v="-5000"/>
    <x v="12"/>
    <n v="5000"/>
  </r>
  <r>
    <d v="2026-04-07T00:00:00"/>
    <s v=" WDL TFR   UPI/DR/704441967706/KESHAVA /YESB/paytmqr5vc/P_x000a_ aym   0097691162095 AT 01868 DIESEL LOCO WORKS(VARANASI)"/>
    <s v=""/>
    <n v="350"/>
    <m/>
    <n v="1082403.8700000001"/>
    <x v="12"/>
    <x v="1"/>
    <x v="3"/>
    <n v="-350"/>
    <x v="12"/>
    <n v="350"/>
  </r>
  <r>
    <d v="2026-04-07T00:00:00"/>
    <s v=" WDL TFR   UPI/DR/869047353069/Afjal An/YESB/paytmqr6ns/P_x000a_ aym   0097691162095 AT 01868 DIESEL LOCO WORKS(VARANASI)"/>
    <s v=""/>
    <n v="15"/>
    <m/>
    <n v="1082388.8700000001"/>
    <x v="12"/>
    <x v="1"/>
    <x v="3"/>
    <n v="-15"/>
    <x v="12"/>
    <n v="15"/>
  </r>
  <r>
    <d v="2026-04-07T00:00:00"/>
    <s v=" WDL TFR   UPI/DR/397791900673/Mohit  S/SBIN/6393236355/P_x000a_ aym   0097691162095 AT 01868 DIESEL LOCO WORKS(VARANASI)"/>
    <s v=""/>
    <n v="595"/>
    <m/>
    <n v="1081793.8700000001"/>
    <x v="12"/>
    <x v="1"/>
    <x v="3"/>
    <n v="-595"/>
    <x v="12"/>
    <n v="595"/>
  </r>
  <r>
    <d v="2026-04-07T00:00:00"/>
    <s v=" WDL TFR   UPI/DR/109548992625/AMWAY IN/ICIC/weplamwayi/A_x000a_ MWA   0097691162095 AT 01868 DIESEL LOCO WORKS(VARANASI)"/>
    <s v=""/>
    <n v="4429"/>
    <m/>
    <n v="1077364.8700000001"/>
    <x v="12"/>
    <x v="1"/>
    <x v="3"/>
    <n v="-4429"/>
    <x v="12"/>
    <n v="4429"/>
  </r>
  <r>
    <d v="2026-04-07T00:00:00"/>
    <s v=" WDL TFR   UPI/DR/925509292214/AMWAY IN/AIRP/amwayindia/P_x000a_ urc   0097691162095 AT 01868 DIESEL LOCO WORKS(VARANASI)"/>
    <s v=""/>
    <n v="4583"/>
    <m/>
    <n v="1072781.8700000001"/>
    <x v="12"/>
    <x v="1"/>
    <x v="3"/>
    <n v="-4583"/>
    <x v="12"/>
    <n v="4583"/>
  </r>
  <r>
    <d v="2026-04-08T00:00:00"/>
    <s v=" WDL TFR   UPI/DR/114385391754/Jio Rech/YESB/JIOINAPPDI/P_x000a_ aym   0097692162094 AT 01868 DIESEL LOCO WORKS(VARANASI)"/>
    <s v=""/>
    <n v="353"/>
    <m/>
    <n v="1072428.8700000001"/>
    <x v="12"/>
    <x v="1"/>
    <x v="3"/>
    <n v="-353"/>
    <x v="12"/>
    <n v="353"/>
  </r>
  <r>
    <d v="2026-04-08T00:00:00"/>
    <s v=" WDL TFR   UPI/DR/220013294432/RAVI SHA/YESB/paytmqr67l/P_x000a_ aym   0097692162094 AT 01868 DIESEL LOCO WORKS(VARANASI)"/>
    <s v=""/>
    <n v="320"/>
    <m/>
    <n v="1072108.8700000001"/>
    <x v="12"/>
    <x v="1"/>
    <x v="3"/>
    <n v="-320"/>
    <x v="12"/>
    <n v="320"/>
  </r>
  <r>
    <d v="2026-04-09T00:00:00"/>
    <s v=" WDL TFR   UPI/DR/120813370996/Seekho/utib/seekhoswn./Man_x000a_ dat   0097693162093 AT 01868 DIESEL LOCO WORKS(VARANASI)"/>
    <s v=""/>
    <n v="199"/>
    <m/>
    <n v="1071909.8700000001"/>
    <x v="12"/>
    <x v="1"/>
    <x v="3"/>
    <n v="-199"/>
    <x v="12"/>
    <n v="199"/>
  </r>
  <r>
    <d v="2026-04-10T00:00:00"/>
    <s v=" WDL TFR   UPI/DR/933571586186/NALIN SI/DBSS/nalinbisen/P_x000a_ aym   0097694162092 AT 01868 DIESEL LOCO WORKS(VARANASI)"/>
    <s v=""/>
    <n v="424"/>
    <m/>
    <n v="1071485.8700000001"/>
    <x v="12"/>
    <x v="1"/>
    <x v="3"/>
    <n v="-424"/>
    <x v="12"/>
    <n v="424"/>
  </r>
  <r>
    <d v="2026-04-10T00:00:00"/>
    <s v=" ATM WDL   ATM CASH 3701      _x000a_    DLW VARANASI          VARAN"/>
    <s v=""/>
    <n v="18500"/>
    <m/>
    <n v="1052985.8700000001"/>
    <x v="12"/>
    <x v="1"/>
    <x v="7"/>
    <n v="-18500"/>
    <x v="12"/>
    <n v="18500"/>
  </r>
  <r>
    <d v="2026-04-10T00:00:00"/>
    <s v=" WDL TFR   UPI/DR/158267637396/ANKIT SI/YESB/Q858789984/P_x000a_ aym   0097694162092 AT 01868 DIESEL LOCO WORKS(VARANASI)"/>
    <s v=""/>
    <n v="2000"/>
    <m/>
    <n v="1050985.8700000001"/>
    <x v="12"/>
    <x v="1"/>
    <x v="3"/>
    <n v="-2000"/>
    <x v="12"/>
    <n v="2000"/>
  </r>
  <r>
    <d v="2026-04-10T00:00:00"/>
    <s v=" DEP TFR   UPI/CR/635748787123/YADVENDR/HDFC/9919752100/P_x000a_ aym   0097736162097 AT 01868 DIESEL LOCO WORKS(VARANASI)"/>
    <s v=""/>
    <m/>
    <n v="1"/>
    <n v="1050986.8700000001"/>
    <x v="12"/>
    <x v="0"/>
    <x v="3"/>
    <n v="1"/>
    <x v="12"/>
    <n v="1"/>
  </r>
  <r>
    <d v="2026-04-10T00:00:00"/>
    <s v=" DEP TFR   UPI/CR/442023614519/YADVENDR/HDFC/9919752100/P_x000a_ aym   0097736162097 AT 01868 DIESEL LOCO WORKS(VARANASI)"/>
    <s v=""/>
    <m/>
    <n v="4430"/>
    <n v="1055416.8700000001"/>
    <x v="12"/>
    <x v="0"/>
    <x v="3"/>
    <n v="4430"/>
    <x v="12"/>
    <n v="4430"/>
  </r>
  <r>
    <d v="2026-04-10T00:00:00"/>
    <s v=" WDL TFR   UPI/DR/775914403459/SADIQ  K/KKBK/8957581553/P_x000a_ aym   0097694162092 AT 01868 DIESEL LOCO WORKS(VARANASI)"/>
    <s v=""/>
    <n v="200"/>
    <m/>
    <n v="1055216.8700000001"/>
    <x v="12"/>
    <x v="1"/>
    <x v="3"/>
    <n v="-200"/>
    <x v="12"/>
    <n v="200"/>
  </r>
  <r>
    <d v="2026-04-12T00:00:00"/>
    <s v=" WDL TFR   UPI/DR/369761051271/Bank Acc/SBIN/3258418352/P_x000a_ aym   0097696162090 AT 01868 DIESEL LOCO WORKS(VARANASI)"/>
    <s v=""/>
    <n v="4000"/>
    <m/>
    <n v="1051216.8700000001"/>
    <x v="12"/>
    <x v="1"/>
    <x v="3"/>
    <n v="-4000"/>
    <x v="12"/>
    <n v="4000"/>
  </r>
  <r>
    <d v="2026-04-12T00:00:00"/>
    <s v=" WDL TFR   UPI/DR/430316792039/MANISH K/BARB/ak18554121/P_x000a_ aym   0097696162090 AT 01868 DIESEL LOCO WORKS(VARANASI)"/>
    <s v=""/>
    <n v="200"/>
    <m/>
    <n v="1051016.8700000001"/>
    <x v="12"/>
    <x v="1"/>
    <x v="3"/>
    <n v="-200"/>
    <x v="12"/>
    <n v="200"/>
  </r>
  <r>
    <d v="2026-04-13T00:00:00"/>
    <s v=" WDL TFR   UPI/DR/110340544285/ANKUR GU/YESB/paytmqr6wq/P_x000a_ aym   0097690162095 AT 01868 DIESEL LOCO WORKS(VARANASI)"/>
    <s v=""/>
    <n v="70"/>
    <m/>
    <n v="1050946.8700000001"/>
    <x v="12"/>
    <x v="1"/>
    <x v="3"/>
    <n v="-70"/>
    <x v="12"/>
    <n v="70"/>
  </r>
  <r>
    <d v="2026-04-13T00:00:00"/>
    <s v=" WDL TFR   UPI/DR/142645408208/RITESH K/YESB/paytm.s1yc/P_x000a_ aym   0097690162095 AT 01868 DIESEL LOCO WORKS(VARANASI)"/>
    <s v=""/>
    <n v="250"/>
    <m/>
    <n v="1050696.8700000001"/>
    <x v="12"/>
    <x v="1"/>
    <x v="3"/>
    <n v="-250"/>
    <x v="12"/>
    <n v="250"/>
  </r>
  <r>
    <d v="2026-04-13T00:00:00"/>
    <s v=" WDL TFR   UPI/DR/911019462486/MOHD SAI/BARB/mohammadsa/P_x000a_ aym   0097690162095 AT 01868 DIESEL LOCO WORKS(VARANASI)"/>
    <s v=""/>
    <n v="2950"/>
    <m/>
    <n v="1047746.87"/>
    <x v="12"/>
    <x v="1"/>
    <x v="3"/>
    <n v="-2950"/>
    <x v="12"/>
    <n v="2950"/>
  </r>
  <r>
    <d v="2026-04-13T00:00:00"/>
    <s v=" WDL TFR   UPI/DR/946738015723/Sahabaj/SBIN/shabajahma/Pa_x000a_ yme   0097690162095 AT 01868 DIESEL LOCO WORKS(VARANASI)"/>
    <s v=""/>
    <n v="46800"/>
    <m/>
    <n v="1000946.87"/>
    <x v="12"/>
    <x v="1"/>
    <x v="3"/>
    <n v="-46800"/>
    <x v="12"/>
    <n v="46800"/>
  </r>
  <r>
    <d v="2026-04-13T00:00:00"/>
    <s v=" WDL TFR   UPI/DR/403094308303/SONI/UCBA/9026583045/Paym_x000a_ ent   0097690162095 AT 01868 DIESEL LOCO WORKS(VARANASI)"/>
    <s v=""/>
    <n v="5000"/>
    <m/>
    <n v="995946.87"/>
    <x v="12"/>
    <x v="1"/>
    <x v="3"/>
    <n v="-5000"/>
    <x v="12"/>
    <n v="5000"/>
  </r>
  <r>
    <d v="2026-04-13T00:00:00"/>
    <s v=" WDL TFR   UPI/DR/459243537687/MANORAMA/YESB/paytmqr10n/P_x000a_ aym   0097690162095 AT 01868 DIESEL LOCO WORKS(VARANASI)"/>
    <s v=""/>
    <n v="350"/>
    <m/>
    <n v="995596.87"/>
    <x v="12"/>
    <x v="1"/>
    <x v="3"/>
    <n v="-350"/>
    <x v="12"/>
    <n v="350"/>
  </r>
  <r>
    <d v="2026-04-13T00:00:00"/>
    <s v=" WDL TFR   UPI/DR/723972648598/POOJA SI/UNBA/BHARATPE2R/P_x000a_ aym   0097690162095 AT 01868 DIESEL LOCO WORKS(VARANASI)"/>
    <s v=""/>
    <n v="130"/>
    <m/>
    <n v="995466.87"/>
    <x v="12"/>
    <x v="1"/>
    <x v="3"/>
    <n v="-130"/>
    <x v="12"/>
    <n v="130"/>
  </r>
  <r>
    <d v="2026-04-13T00:00:00"/>
    <s v=" WDL TFR   UPI/DR/869387376336/MS VANDANA/YESB/paytmqr658_x000a_ /Pa   0097690162095 AT 01868 DIESEL LOCO WORKS(VARANASI)"/>
    <s v=""/>
    <n v="4335"/>
    <m/>
    <n v="991131.87"/>
    <x v="12"/>
    <x v="1"/>
    <x v="3"/>
    <n v="-4335"/>
    <x v="12"/>
    <n v="4335"/>
  </r>
  <r>
    <d v="2026-04-14T00:00:00"/>
    <s v=" WDL TFR   UPI/DR/401395240175/SHAMBHAV/KKBK/7355395914/P_x000a_ aym   0097691162095 AT 01868 DIESEL LOCO WORKS(VARANASI)"/>
    <s v=""/>
    <n v="1060"/>
    <m/>
    <n v="990071.87"/>
    <x v="12"/>
    <x v="1"/>
    <x v="3"/>
    <n v="-1060"/>
    <x v="12"/>
    <n v="1060"/>
  </r>
  <r>
    <d v="2026-04-14T00:00:00"/>
    <s v=" WDL TFR   UPI/DR/068952570386/AMIT CHA/YESB/Q036743270/P_x000a_ aym   0097691162095 AT 01868 DIESEL LOCO WORKS(VARANASI)"/>
    <s v=""/>
    <n v="268"/>
    <m/>
    <n v="989803.87"/>
    <x v="12"/>
    <x v="1"/>
    <x v="3"/>
    <n v="-268"/>
    <x v="12"/>
    <n v="268"/>
  </r>
  <r>
    <d v="2026-04-14T00:00:00"/>
    <s v=" WDL TFR   UPI/DR/696619182199/ABHISHEK/BARB/9616366415/P_x000a_ aym   0097691162095 AT 01868 DIESEL LOCO WORKS(VARANASI)"/>
    <s v=""/>
    <n v="1900"/>
    <m/>
    <n v="987903.87"/>
    <x v="12"/>
    <x v="1"/>
    <x v="3"/>
    <n v="-1900"/>
    <x v="12"/>
    <n v="1900"/>
  </r>
  <r>
    <d v="2026-04-14T00:00:00"/>
    <s v=" WDL TFR   UPI/DR/086888283890/KS2/YESB/Q041504657/Payme_x000a_ nt   0097691162095 AT 01868 DIESEL LOCO WORKS(VARANASI)"/>
    <s v=""/>
    <n v="1500"/>
    <m/>
    <n v="986403.87"/>
    <x v="12"/>
    <x v="1"/>
    <x v="3"/>
    <n v="-1500"/>
    <x v="12"/>
    <n v="1500"/>
  </r>
  <r>
    <d v="2026-04-15T00:00:00"/>
    <s v=" WDL TFR   UPI/DR/239870249449/KESHAVA /YESB/paytmqr6rb/P_x000a_ aym   0097692162094 AT 01868 DIESEL LOCO WORKS(VARANASI)"/>
    <s v=""/>
    <n v="510"/>
    <m/>
    <n v="985893.87"/>
    <x v="12"/>
    <x v="1"/>
    <x v="3"/>
    <n v="-510"/>
    <x v="12"/>
    <n v="510"/>
  </r>
  <r>
    <d v="2026-04-15T00:00:00"/>
    <s v=" WDL TFR   UPI/DR/789996137406/HANEEF K/HDFC/Vyapar.175/P_x000a_ aym   0097692162094 AT 01868 DIESEL LOCO WORKS(VARANASI)"/>
    <s v=""/>
    <n v="4000"/>
    <m/>
    <n v="981893.87"/>
    <x v="12"/>
    <x v="1"/>
    <x v="3"/>
    <n v="-4000"/>
    <x v="12"/>
    <n v="4000"/>
  </r>
  <r>
    <d v="2026-04-15T00:00:00"/>
    <s v=" WDL TFR   UPI/DR/803693753622/HANEEF K/HDFC/Vyapar.175/P_x000a_ aym   0097692162094 AT 01868 DIESEL LOCO WORKS(VARANASI)"/>
    <s v=""/>
    <n v="1000"/>
    <m/>
    <n v="980893.87"/>
    <x v="12"/>
    <x v="1"/>
    <x v="3"/>
    <n v="-1000"/>
    <x v="12"/>
    <n v="1000"/>
  </r>
  <r>
    <d v="2026-04-15T00:00:00"/>
    <s v=" WDL TFR   UPI/DR/389325898646/BRIJESH /YESB/Q388579857/P_x000a_ aym   0097692162094 AT 01868 DIESEL LOCO WORKS(VARANASI)"/>
    <s v=""/>
    <n v="460"/>
    <m/>
    <n v="980433.87"/>
    <x v="12"/>
    <x v="1"/>
    <x v="3"/>
    <n v="-460"/>
    <x v="12"/>
    <n v="460"/>
  </r>
  <r>
    <d v="2026-04-15T00:00:00"/>
    <s v=" WDL TFR   UPI/DR/516009312684/SHRI MOH/HDFC/srimohanpa/P_x000a_ aym   0097692162094 AT 01868 DIESEL LOCO WORKS(VARANASI)"/>
    <s v=""/>
    <n v="16500"/>
    <m/>
    <n v="963933.87"/>
    <x v="12"/>
    <x v="1"/>
    <x v="3"/>
    <n v="-16500"/>
    <x v="12"/>
    <n v="16500"/>
  </r>
  <r>
    <d v="2026-04-15T00:00:00"/>
    <s v=" WDL TFR   UPI/DR/575561964930/TARUN KU/UBIN/9241385578/P_x000a_ aym   0097692162094 AT 01868 DIESEL LOCO WORKS(VARANASI)"/>
    <s v=""/>
    <n v="200"/>
    <m/>
    <n v="963733.87"/>
    <x v="12"/>
    <x v="1"/>
    <x v="3"/>
    <n v="-200"/>
    <x v="12"/>
    <n v="200"/>
  </r>
  <r>
    <d v="2026-04-16T00:00:00"/>
    <s v=" ATM WDL   ATM CASH 7164      _x000a_    DLW VARANASI          VARAN"/>
    <s v=""/>
    <n v="9000"/>
    <m/>
    <n v="954733.87"/>
    <x v="12"/>
    <x v="1"/>
    <x v="7"/>
    <n v="-9000"/>
    <x v="12"/>
    <n v="9000"/>
  </r>
  <r>
    <d v="2026-04-16T00:00:00"/>
    <s v=" REVERSE_x000a_  ATM WDL"/>
    <s v=""/>
    <m/>
    <n v="9000"/>
    <n v="963733.87"/>
    <x v="12"/>
    <x v="0"/>
    <x v="7"/>
    <n v="9000"/>
    <x v="12"/>
    <n v="9000"/>
  </r>
  <r>
    <d v="2026-04-16T00:00:00"/>
    <s v=" ATM WDL   ATM CASH 588       _x000a_    ATM DLW               VARAN"/>
    <s v=""/>
    <n v="9000"/>
    <m/>
    <n v="954733.87"/>
    <x v="12"/>
    <x v="1"/>
    <x v="7"/>
    <n v="-9000"/>
    <x v="12"/>
    <n v="9000"/>
  </r>
  <r>
    <d v="2026-04-16T00:00:00"/>
    <s v=" WDL TFR   UPI/DR/742089027973/Shri Bal/YESB/paytm.s14h/P_x000a_ aym   0097693162093 AT 01868 DIESEL LOCO WORKS(VARANASI)"/>
    <s v=""/>
    <n v="16500"/>
    <m/>
    <n v="938233.87"/>
    <x v="12"/>
    <x v="1"/>
    <x v="3"/>
    <n v="-16500"/>
    <x v="12"/>
    <n v="16500"/>
  </r>
  <r>
    <d v="2026-04-16T00:00:00"/>
    <s v=" WDL TFR   UPI/DR/017283770427/Mohit  S/SBIN/6393236355/P_x000a_ aym   0097693162093 AT 01868 DIESEL LOCO WORKS(VARANASI)"/>
    <s v=""/>
    <n v="170"/>
    <m/>
    <n v="938063.87"/>
    <x v="12"/>
    <x v="1"/>
    <x v="3"/>
    <n v="-170"/>
    <x v="12"/>
    <n v="170"/>
  </r>
  <r>
    <d v="2026-04-16T00:00:00"/>
    <s v=" WDL TFR   UPI/DR/050187839395/IRCTC Ra/UTIB/IRCTCRAILW/P_x000a_ aym   0097693162093 AT 01868 DIESEL LOCO WORKS(VARANASI)"/>
    <s v=""/>
    <n v="460"/>
    <m/>
    <n v="937603.87"/>
    <x v="12"/>
    <x v="1"/>
    <x v="3"/>
    <n v="-460"/>
    <x v="12"/>
    <n v="460"/>
  </r>
  <r>
    <d v="2026-04-16T00:00:00"/>
    <s v=" WDL TFR   UPI/DR/595599374671/TARUN KU/UBIN/9241385578/P_x000a_ aym   0097693162093 AT 01868 DIESEL LOCO WORKS(VARANASI)"/>
    <s v=""/>
    <n v="16500"/>
    <m/>
    <n v="921103.87"/>
    <x v="12"/>
    <x v="1"/>
    <x v="3"/>
    <n v="-16500"/>
    <x v="12"/>
    <n v="16500"/>
  </r>
  <r>
    <d v="2026-04-17T00:00:00"/>
    <s v=" WDL TFR   UPI/DR/248949814525/PRAVEEN /UBIN/praveensri/P_x000a_ aym   0097694162092 AT 01868 DIESEL LOCO WORKS(VARANASI)"/>
    <s v=""/>
    <n v="12000"/>
    <m/>
    <n v="909103.87"/>
    <x v="12"/>
    <x v="1"/>
    <x v="3"/>
    <n v="-12000"/>
    <x v="12"/>
    <n v="12000"/>
  </r>
  <r>
    <d v="2026-04-17T00:00:00"/>
    <s v=" WDL TFR   UPI/DR/024789100084/SHASHANK/PUNB/7376040969/P_x000a_ aym   0097694162092 AT 01868 DIESEL LOCO WORKS(VARANASI)"/>
    <s v=""/>
    <n v="251"/>
    <m/>
    <n v="908852.87"/>
    <x v="12"/>
    <x v="1"/>
    <x v="3"/>
    <n v="-251"/>
    <x v="12"/>
    <n v="251"/>
  </r>
  <r>
    <d v="2026-04-17T00:00:00"/>
    <s v=" WDL TFR   UPI/DR/045796084524/SHAMBHAV/KKBK/7355395914/P_x000a_ aym   0097694162092 AT 01868 DIESEL LOCO WORKS(VARANASI)"/>
    <s v=""/>
    <n v="5000"/>
    <m/>
    <n v="903852.87"/>
    <x v="12"/>
    <x v="1"/>
    <x v="3"/>
    <n v="-5000"/>
    <x v="12"/>
    <n v="5000"/>
  </r>
  <r>
    <d v="2026-04-17T00:00:00"/>
    <s v=" WDL TFR   UPI/DR/610722677650/AMWAY IN/AIRP/amwayindia/A_x000a_ MWA   0097694162092 AT 01868 DIESEL LOCO WORKS(VARANASI)"/>
    <s v=""/>
    <n v="3454"/>
    <m/>
    <n v="900398.87"/>
    <x v="12"/>
    <x v="1"/>
    <x v="3"/>
    <n v="-3454"/>
    <x v="12"/>
    <n v="3454"/>
  </r>
  <r>
    <d v="2026-04-18T00:00:00"/>
    <s v=" WDL TFR   UPI/DR/324150007973/U P Powe/AIRP/UPPowerCor/U_x000a_ PII   0097695162091 AT 01868 DIESEL LOCO WORKS(VARANASI)"/>
    <s v=""/>
    <n v="2000"/>
    <m/>
    <n v="898398.87"/>
    <x v="12"/>
    <x v="1"/>
    <x v="3"/>
    <n v="-2000"/>
    <x v="12"/>
    <n v="2000"/>
  </r>
  <r>
    <d v="2026-04-18T00:00:00"/>
    <s v=" WDL TFR   UPI/DR/544377982404/ALTAMASH/YESB/Q034595268/P_x000a_ aym   0097695162091 AT 01868 DIESEL LOCO WORKS(VARANASI)"/>
    <s v=""/>
    <n v="2000"/>
    <m/>
    <n v="896398.87"/>
    <x v="12"/>
    <x v="1"/>
    <x v="3"/>
    <n v="-2000"/>
    <x v="12"/>
    <n v="2000"/>
  </r>
  <r>
    <d v="2026-04-19T00:00:00"/>
    <s v=" WDL TFR   UPI/DR/826780050241/PAPPU/UCBA/pk2643212@/Paym_x000a_ ent   0097696162090 AT 01868 DIESEL LOCO WORKS(VARANASI)"/>
    <s v=""/>
    <n v="6000"/>
    <m/>
    <n v="890398.87"/>
    <x v="12"/>
    <x v="1"/>
    <x v="3"/>
    <n v="-6000"/>
    <x v="12"/>
    <n v="6000"/>
  </r>
  <r>
    <d v="2026-04-19T00:00:00"/>
    <s v=" WDL TFR   UPI/DR/678440241100/TARUN KU/UBIN/9241385578/P_x000a_ aym   0097696162090 AT 01868 DIESEL LOCO WORKS(VARANASI)"/>
    <s v=""/>
    <n v="16500"/>
    <m/>
    <n v="873898.87"/>
    <x v="12"/>
    <x v="1"/>
    <x v="3"/>
    <n v="-16500"/>
    <x v="12"/>
    <n v="16500"/>
  </r>
  <r>
    <d v="2026-04-19T00:00:00"/>
    <s v=" WDL TFR   UPI/DR/800732199746/GULSHAN /INDB/bajajpay.6/P_x000a_ aym   0097696162090 AT 01868 DIESEL LOCO WORKS(VARANASI)"/>
    <s v=""/>
    <n v="180"/>
    <m/>
    <n v="873718.87"/>
    <x v="12"/>
    <x v="1"/>
    <x v="3"/>
    <n v="-180"/>
    <x v="12"/>
    <n v="180"/>
  </r>
  <r>
    <d v="2026-04-19T00:00:00"/>
    <s v=" WDL TFR   UPI/DR/033318681166/Afjal An/YESB/paytmqr6ns/P_x000a_ aym   0097696162090 AT 01868 DIESEL LOCO WORKS(VARANASI)"/>
    <s v=""/>
    <n v="15"/>
    <m/>
    <n v="873703.87"/>
    <x v="12"/>
    <x v="1"/>
    <x v="3"/>
    <n v="-15"/>
    <x v="12"/>
    <n v="15"/>
  </r>
  <r>
    <d v="2026-04-20T00:00:00"/>
    <s v=" WDL TFR   UPI/DR/727167335941/Mahajan /BARB/8563848198/P_x000a_ aym   0097690162095 AT 01868 DIESEL LOCO WORKS(VARANASI)"/>
    <s v=""/>
    <n v="300"/>
    <m/>
    <n v="873403.87"/>
    <x v="12"/>
    <x v="1"/>
    <x v="3"/>
    <n v="-300"/>
    <x v="12"/>
    <n v="300"/>
  </r>
  <r>
    <d v="2026-04-20T00:00:00"/>
    <s v=" WDL TFR   UPI/DR/030774138652/TARUN KU/UBIN/9241385578/P_x000a_ aym   0097690162095 AT 01868 DIESEL LOCO WORKS(VARANASI)"/>
    <s v=""/>
    <n v="16500"/>
    <m/>
    <n v="856903.87"/>
    <x v="12"/>
    <x v="1"/>
    <x v="3"/>
    <n v="-16500"/>
    <x v="12"/>
    <n v="16500"/>
  </r>
  <r>
    <d v="2026-04-20T00:00:00"/>
    <s v=" WDL TFR   UPI/DR/467415526192/ALTAMASH/YESB/Q034595268/P_x000a_ aym   0097690162095 AT 01868 DIESEL LOCO WORKS(VARANASI)"/>
    <s v=""/>
    <n v="7500"/>
    <m/>
    <n v="849403.87"/>
    <x v="12"/>
    <x v="1"/>
    <x v="3"/>
    <n v="-7500"/>
    <x v="12"/>
    <n v="7500"/>
  </r>
  <r>
    <d v="2026-04-20T00:00:00"/>
    <s v=" WDL TFR   UPI/DR/311472710489/MONALISA/YESB/Q365057814/P_x000a_ aym   0097690162095 AT 01868 DIESEL LOCO WORKS(VARANASI)"/>
    <s v=""/>
    <n v="200"/>
    <m/>
    <n v="849203.87"/>
    <x v="12"/>
    <x v="1"/>
    <x v="3"/>
    <n v="-200"/>
    <x v="12"/>
    <n v="200"/>
  </r>
  <r>
    <d v="2026-04-20T00:00:00"/>
    <s v=" WDL TFR   UPI/DR/642275330763/SONI/UCBA/9026583045/Paym_x000a_ ent   0097690162095 AT 01868 DIESEL LOCO WORKS(VARANASI)"/>
    <s v=""/>
    <n v="5000"/>
    <m/>
    <n v="844203.87"/>
    <x v="12"/>
    <x v="1"/>
    <x v="3"/>
    <n v="-5000"/>
    <x v="12"/>
    <n v="5000"/>
  </r>
  <r>
    <d v="2026-04-21T00:00:00"/>
    <s v=" WDL TFR   UPI/DR/574284118758/KESHAVA /YESB/paytm.s1k5/P_x000a_ aym   0097691162095 AT 01868 DIESEL LOCO WORKS(VARANASI)"/>
    <s v=""/>
    <n v="1000"/>
    <m/>
    <n v="843203.87"/>
    <x v="12"/>
    <x v="1"/>
    <x v="3"/>
    <n v="-1000"/>
    <x v="12"/>
    <n v="1000"/>
  </r>
  <r>
    <d v="2026-04-21T00:00:00"/>
    <s v=" WDL TFR   UPI/DR/853096452654/JITENDRA/UBIN/jitendrapr/P_x000a_ aym   0097691162095 AT 01868 DIESEL LOCO WORKS(VARANASI)"/>
    <s v=""/>
    <n v="900"/>
    <m/>
    <n v="842303.87"/>
    <x v="12"/>
    <x v="1"/>
    <x v="3"/>
    <n v="-900"/>
    <x v="12"/>
    <n v="900"/>
  </r>
  <r>
    <d v="2026-04-21T00:00:00"/>
    <s v=" WDL TFR   UPI/DR/991269255554/Raj Batt/UTIB/gpay-11173/P_x000a_ aym   0097691162095 AT 01868 DIESEL LOCO WORKS(VARANASI)"/>
    <s v=""/>
    <n v="520"/>
    <m/>
    <n v="841783.87"/>
    <x v="12"/>
    <x v="1"/>
    <x v="3"/>
    <n v="-520"/>
    <x v="12"/>
    <n v="520"/>
  </r>
  <r>
    <d v="2026-04-21T00:00:00"/>
    <s v=" WDL TFR   UPI/DR/653341161647/MONALISA/YESB/Q365057814/P_x000a_ aym   0097691162095 AT 01868 DIESEL LOCO WORKS(VARANASI)"/>
    <s v=""/>
    <n v="675"/>
    <m/>
    <n v="841108.87"/>
    <x v="12"/>
    <x v="1"/>
    <x v="3"/>
    <n v="-675"/>
    <x v="12"/>
    <n v="675"/>
  </r>
  <r>
    <d v="2026-04-22T00:00:00"/>
    <s v=" WDL TFR   UPI/DR/698764770880/Afjal An/YESB/paytmqr6ns/P_x000a_ aym   0097692162094 AT 01868 DIESEL LOCO WORKS(VARANASI)"/>
    <s v=""/>
    <n v="15"/>
    <m/>
    <n v="841093.87"/>
    <x v="12"/>
    <x v="1"/>
    <x v="3"/>
    <n v="-15"/>
    <x v="12"/>
    <n v="15"/>
  </r>
  <r>
    <d v="2026-04-23T00:00:00"/>
    <s v=" ATM WDL   ATM CASH 3582      _x000a_    ATM DLW               VARAN"/>
    <s v=""/>
    <n v="15000"/>
    <m/>
    <n v="826093.87"/>
    <x v="12"/>
    <x v="1"/>
    <x v="7"/>
    <n v="-15000"/>
    <x v="12"/>
    <n v="15000"/>
  </r>
  <r>
    <d v="2026-04-23T00:00:00"/>
    <s v=" WDL TFR   UPI/DR/638747955454/PhonePe/YESB/SV25121122/Pa_x000a_ yme   0097693162093 AT 01868 DIESEL LOCO WORKS(VARANASI)"/>
    <s v=""/>
    <n v="503"/>
    <m/>
    <n v="825590.87"/>
    <x v="12"/>
    <x v="1"/>
    <x v="3"/>
    <n v="-503"/>
    <x v="12"/>
    <n v="503"/>
  </r>
  <r>
    <d v="2026-04-23T00:00:00"/>
    <s v=" WDL TFR   UPI/DR/593449948602/SHIVAM K/UNBA/BHARATPE.9/_x000a_ Pay   0097693162093 AT 01868 DIESEL LOCO WORKS(VARANASI)"/>
    <s v=""/>
    <n v="25"/>
    <m/>
    <n v="825565.87"/>
    <x v="12"/>
    <x v="1"/>
    <x v="3"/>
    <n v="-25"/>
    <x v="12"/>
    <n v="25"/>
  </r>
  <r>
    <d v="2026-04-23T00:00:00"/>
    <s v=" WDL TFR   UPI/DR/074721700462/SHRI HAR/YESB/Q692305761/P_x000a_ aym   0097693162093 AT 01868 DIESEL LOCO WORKS(VARANASI)"/>
    <s v=""/>
    <n v="1500"/>
    <m/>
    <n v="824065.87"/>
    <x v="12"/>
    <x v="1"/>
    <x v="3"/>
    <n v="-1500"/>
    <x v="12"/>
    <n v="1500"/>
  </r>
  <r>
    <d v="2026-04-24T00:00:00"/>
    <s v=" WDL TFR   UPI/DR/245099262162/SATISH K/BARB/9792674444/P_x000a_ aym   0097694162092 AT 01868 DIESEL LOCO WORKS(VARANASI)"/>
    <s v=""/>
    <n v="4000"/>
    <m/>
    <n v="820065.87"/>
    <x v="12"/>
    <x v="1"/>
    <x v="3"/>
    <n v="-4000"/>
    <x v="12"/>
    <n v="4000"/>
  </r>
  <r>
    <d v="2026-04-24T00:00:00"/>
    <s v=" WDL TFR   UPI/DR/478791241090/KAJU RAI/BARB/kajubhagat/P_x000a_ aym   0097694162092 AT 01868 DIESEL LOCO WORKS(VARANASI)"/>
    <s v=""/>
    <n v="63817"/>
    <m/>
    <n v="756248.87"/>
    <x v="12"/>
    <x v="1"/>
    <x v="3"/>
    <n v="-63817"/>
    <x v="12"/>
    <n v="63817"/>
  </r>
  <r>
    <d v="2026-04-25T00:00:00"/>
    <s v=" WDL TFR   UPI/DR/653741100122/RAVI SHA/YESB/paytmqr67l/P_x000a_ aym   0097695162091 AT 01868 DIESEL LOCO WORKS(VARANASI)"/>
    <s v=""/>
    <n v="250"/>
    <m/>
    <n v="755998.87"/>
    <x v="12"/>
    <x v="1"/>
    <x v="3"/>
    <n v="-250"/>
    <x v="12"/>
    <n v="250"/>
  </r>
  <r>
    <d v="2026-04-25T00:00:00"/>
    <s v=" WDL TFR   UPI/DR/560833024250/Kalawati/UTIB/gpay-11231/P_x000a_ aym   0097695162091 AT 01868 DIESEL LOCO WORKS(VARANASI)"/>
    <s v=""/>
    <n v="1000"/>
    <m/>
    <n v="754998.87"/>
    <x v="12"/>
    <x v="1"/>
    <x v="3"/>
    <n v="-1000"/>
    <x v="12"/>
    <n v="1000"/>
  </r>
  <r>
    <d v="2026-04-25T00:00:00"/>
    <s v=" WDL TFR   UPI/DR/698934115368/KESHAVA /YESB/paytm.s1k5/P_x000a_ aym   0097695162091 AT 01868 DIESEL LOCO WORKS(VARANASI)"/>
    <s v=""/>
    <n v="800"/>
    <m/>
    <n v="754198.87"/>
    <x v="12"/>
    <x v="1"/>
    <x v="3"/>
    <n v="-800"/>
    <x v="12"/>
    <n v="800"/>
  </r>
  <r>
    <d v="2026-04-25T00:00:00"/>
    <s v=" WDL TFR   UPI/DR/498078613583/ALIGN AS/YESB/paytmqr1gf/P_x000a_ aym   0097695162091 AT 01868 DIESEL LOCO WORKS(VARANASI)"/>
    <s v=""/>
    <n v="1000"/>
    <m/>
    <n v="753198.87"/>
    <x v="12"/>
    <x v="1"/>
    <x v="3"/>
    <n v="-1000"/>
    <x v="12"/>
    <n v="1000"/>
  </r>
  <r>
    <d v="2026-04-26T00:00:00"/>
    <s v=" WDL TFR   UPI/DR/277515223715/KHAN FAB/SBIN/90260510@a/P_x000a_ aym   0097696162090 AT 01868 DIESEL LOCO WORKS(VARANASI)"/>
    <s v=""/>
    <n v="40000"/>
    <m/>
    <n v="713198.87"/>
    <x v="12"/>
    <x v="1"/>
    <x v="3"/>
    <n v="-40000"/>
    <x v="12"/>
    <n v="40000"/>
  </r>
  <r>
    <d v="2026-04-26T00:00:00"/>
    <s v=" WDL TFR   UPI/DR/029414946070/GUFRAN A/YESB/paytmqr6fh/P_x000a_ aym   0097696162090 AT 01868 DIESEL LOCO WORKS(VARANASI)"/>
    <s v=""/>
    <n v="70"/>
    <m/>
    <n v="713128.87"/>
    <x v="12"/>
    <x v="1"/>
    <x v="3"/>
    <n v="-70"/>
    <x v="12"/>
    <n v="70"/>
  </r>
  <r>
    <d v="2026-04-26T00:00:00"/>
    <s v=" DEP TFR   UPI/CR/611644723456/Sudha  S/SBIN/sudhasingh/_x000a_ UPI   0097738162095 AT 01868 DIESEL LOCO WORKS(VARANASI)"/>
    <s v=""/>
    <m/>
    <n v="1100"/>
    <n v="714228.87"/>
    <x v="12"/>
    <x v="0"/>
    <x v="3"/>
    <n v="1100"/>
    <x v="12"/>
    <n v="1100"/>
  </r>
  <r>
    <d v="2026-04-26T00:00:00"/>
    <s v=" DEP TFR   UPI/CR/611644889248/Sudha  S/SBIN/sudhasingh/_x000a_ UPI   0097738162095 AT 01868 DIESEL LOCO WORKS(VARANASI)"/>
    <s v=""/>
    <m/>
    <n v="10"/>
    <n v="714238.87"/>
    <x v="12"/>
    <x v="0"/>
    <x v="3"/>
    <n v="10"/>
    <x v="12"/>
    <n v="10"/>
  </r>
  <r>
    <d v="2026-04-27T00:00:00"/>
    <s v=" WDL TFR   UPI/DR/445197306185/NALIN SI/DBSS/nalinbisen/P_x000a_ aym   0097690162095 AT 01868 DIESEL LOCO WORKS(VARANASI)"/>
    <s v=""/>
    <n v="424"/>
    <m/>
    <n v="713814.87"/>
    <x v="12"/>
    <x v="1"/>
    <x v="3"/>
    <n v="-424"/>
    <x v="12"/>
    <n v="424"/>
  </r>
  <r>
    <d v="2026-04-27T00:00:00"/>
    <s v=" WDL TFR   UPI/DR/987387989344/Manas En/UTIB/9415221354/P_x000a_ aym   0097690162095 AT 01868 DIESEL LOCO WORKS(VARANASI)"/>
    <s v=""/>
    <n v="33700"/>
    <m/>
    <n v="680114.87"/>
    <x v="12"/>
    <x v="1"/>
    <x v="3"/>
    <n v="-33700"/>
    <x v="12"/>
    <n v="33700"/>
  </r>
  <r>
    <d v="2026-04-27T00:00:00"/>
    <s v=" WDL TFR   UPI/DR/770013282025/U P Powe/AIRP/UPPowerCor/U_x000a_ PII   0097690162095 AT 01868 DIESEL LOCO WORKS(VARANASI)"/>
    <s v=""/>
    <n v="5000"/>
    <m/>
    <n v="675114.87"/>
    <x v="12"/>
    <x v="1"/>
    <x v="3"/>
    <n v="-5000"/>
    <x v="12"/>
    <n v="5000"/>
  </r>
  <r>
    <d v="2026-04-27T00:00:00"/>
    <s v=" WDL TFR   UPI/DR/529229018037/ASHISH P/HDFC/Vyapar.175/P_x000a_ aym   0097690162095 AT 01868 DIESEL LOCO WORKS(VARANASI)"/>
    <s v=""/>
    <n v="910"/>
    <m/>
    <n v="674204.87"/>
    <x v="12"/>
    <x v="1"/>
    <x v="3"/>
    <n v="-910"/>
    <x v="12"/>
    <n v="910"/>
  </r>
  <r>
    <d v="2026-04-27T00:00:00"/>
    <s v=" WDL TFR   UPI/DR/150354721835/USHA STA/BKID/boism-9653/M_x000a_ erc   0097690162095 AT 01868 DIESEL LOCO WORKS(VARANASI)"/>
    <s v=""/>
    <n v="520"/>
    <m/>
    <n v="673684.87"/>
    <x v="12"/>
    <x v="1"/>
    <x v="3"/>
    <n v="-520"/>
    <x v="12"/>
    <n v="520"/>
  </r>
  <r>
    <d v="2026-04-27T00:00:00"/>
    <s v=" WDL TFR   UPI/DR/030537126544/Pradeep /SBIN/pradeepmeg/P_x000a_ aym   0097690162095 AT 01868 DIESEL LOCO WORKS(VARANASI)"/>
    <s v=""/>
    <n v="700"/>
    <m/>
    <n v="672984.87"/>
    <x v="12"/>
    <x v="1"/>
    <x v="3"/>
    <n v="-700"/>
    <x v="12"/>
    <n v="700"/>
  </r>
  <r>
    <d v="2026-04-27T00:00:00"/>
    <s v=" WDL TFR   UPI/DR/654510433490/SANJAY K/SBIN/9450548379/P_x000a_ aym   0097690162095 AT 01868 DIESEL LOCO WORKS(VARANASI)"/>
    <s v=""/>
    <n v="700"/>
    <m/>
    <n v="672284.87"/>
    <x v="12"/>
    <x v="1"/>
    <x v="3"/>
    <n v="-700"/>
    <x v="12"/>
    <n v="700"/>
  </r>
  <r>
    <d v="2026-04-27T00:00:00"/>
    <s v=" CEMTEX DEP   Sa_x000a_ lary of Apr 2026"/>
    <s v=""/>
    <m/>
    <n v="122503"/>
    <n v="794787.87"/>
    <x v="12"/>
    <x v="0"/>
    <x v="0"/>
    <n v="122503"/>
    <x v="12"/>
    <n v="122503"/>
  </r>
  <r>
    <d v="2026-04-28T00:00:00"/>
    <s v=" DEBIT   CMP MANDATE D_x000a_ EBIT AXIS Mutual FUND"/>
    <s v=""/>
    <n v="1000"/>
    <m/>
    <n v="793787.87"/>
    <x v="12"/>
    <x v="1"/>
    <x v="6"/>
    <n v="-1000"/>
    <x v="12"/>
    <n v="1000"/>
  </r>
  <r>
    <d v="2026-04-28T00:00:00"/>
    <s v=" WDL TFR   UPI/DR/214054240035/SHAMBHAV/KKBK/7355395914/P_x000a_ aym   0097691162095 AT 01868 DIESEL LOCO WORKS(VARANASI)"/>
    <s v=""/>
    <n v="6000"/>
    <m/>
    <n v="787787.87"/>
    <x v="12"/>
    <x v="1"/>
    <x v="3"/>
    <n v="-6000"/>
    <x v="12"/>
    <n v="6000"/>
  </r>
  <r>
    <d v="2026-04-28T00:00:00"/>
    <s v=" WDL TFR   UPI/DR/277392781999/Laxmi EL/UTIB/gpay-11200/P_x000a_ aym   0097691162095 AT 01868 DIESEL LOCO WORKS(VARANASI)"/>
    <s v=""/>
    <n v="528"/>
    <m/>
    <n v="787259.87"/>
    <x v="12"/>
    <x v="1"/>
    <x v="3"/>
    <n v="-528"/>
    <x v="12"/>
    <n v="528"/>
  </r>
  <r>
    <d v="2026-04-28T00:00:00"/>
    <s v=" WDL TFR   UPI/DR/240266413845/RASIDA B/YESB/Q473713563/P_x000a_ aym   0097691162095 AT 01868 DIESEL LOCO WORKS(VARANASI)"/>
    <s v=""/>
    <n v="15"/>
    <m/>
    <n v="787244.87"/>
    <x v="12"/>
    <x v="1"/>
    <x v="3"/>
    <n v="-15"/>
    <x v="12"/>
    <n v="15"/>
  </r>
  <r>
    <d v="2026-04-29T00:00:00"/>
    <s v=" WDL TFR   UPI/DR/370052288278/Bank Acc/PUNB/4045000102/P_x000a_ aym   0097692162094 AT 01868 DIESEL LOCO WORKS(VARANASI)"/>
    <s v=""/>
    <n v="10000"/>
    <m/>
    <n v="777244.87"/>
    <x v="12"/>
    <x v="1"/>
    <x v="3"/>
    <n v="-10000"/>
    <x v="12"/>
    <n v="10000"/>
  </r>
  <r>
    <d v="2026-04-30T00:00:00"/>
    <s v=" WDL TFR   UPI/DR/972487061863/Bank Acc/PUNB/4045000102/P_x000a_ aym   0097693162093 AT 01868 DIESEL LOCO WORKS(VARANASI)"/>
    <s v=""/>
    <n v="10000"/>
    <m/>
    <n v="767244.87"/>
    <x v="12"/>
    <x v="1"/>
    <x v="3"/>
    <n v="-10000"/>
    <x v="12"/>
    <n v="10000"/>
  </r>
  <r>
    <d v="2026-04-30T00:00:00"/>
    <s v=" WDL TFR   UPI/DR/315412399273/SONI/UCBA/9026583045/Paym_x000a_ ent   0097693162093 AT 01868 DIESEL LOCO WORKS(VARANASI)"/>
    <s v=""/>
    <n v="3000"/>
    <m/>
    <n v="764244.87"/>
    <x v="12"/>
    <x v="1"/>
    <x v="3"/>
    <n v="-3000"/>
    <x v="12"/>
    <n v="3000"/>
  </r>
  <r>
    <d v="2026-04-30T00:00:00"/>
    <s v=" WDL TFR   UPI/DR/457458440191/RASIDA B/YESB/Q473713563/P_x000a_ aym   0097693162093 AT 01868 DIESEL LOCO WORKS(VARANASI)"/>
    <s v=""/>
    <n v="15"/>
    <m/>
    <n v="764229.87"/>
    <x v="12"/>
    <x v="1"/>
    <x v="3"/>
    <n v="-15"/>
    <x v="12"/>
    <n v="15"/>
  </r>
  <r>
    <d v="2026-05-01T00:00:00"/>
    <s v=" DEBIT   ACHDr NACH00_x000a_ 000000056369 ETMONEY"/>
    <s v=""/>
    <n v="1000"/>
    <m/>
    <n v="763229.87"/>
    <x v="13"/>
    <x v="1"/>
    <x v="2"/>
    <n v="-1000"/>
    <x v="13"/>
    <n v="1000"/>
  </r>
  <r>
    <d v="2026-05-01T00:00:00"/>
    <s v=" WDL TFR   UPI/DR/473576443717/Afjal An/YESB/paytmqr6ns/P_x000a_ aym   0097694162092 AT 01868 DIESEL LOCO WORKS(VARANASI)"/>
    <s v=""/>
    <n v="15"/>
    <m/>
    <n v="763214.87"/>
    <x v="13"/>
    <x v="1"/>
    <x v="3"/>
    <n v="-15"/>
    <x v="13"/>
    <n v="15"/>
  </r>
  <r>
    <d v="2026-05-02T00:00:00"/>
    <s v=" DIRECT DR   0044198135955 OF Mr. ANOOP SING_x000a_ H VATSA AT 01868 DIESEL LOCO WORKS(VARANASI)"/>
    <s v=""/>
    <n v="7717"/>
    <m/>
    <n v="755497.87"/>
    <x v="13"/>
    <x v="1"/>
    <x v="1"/>
    <n v="-7717"/>
    <x v="13"/>
    <n v="7717"/>
  </r>
  <r>
    <d v="2026-05-02T00:00:00"/>
    <s v=" DIRECT DR   0043745420032 OF Mr. ANOOP SING_x000a_ H VATSA AT 01868 DIESEL LOCO WORKS(VARANASI)"/>
    <s v=""/>
    <n v="8704"/>
    <m/>
    <n v="746793.87"/>
    <x v="13"/>
    <x v="1"/>
    <x v="1"/>
    <n v="-8704"/>
    <x v="13"/>
    <n v="8704"/>
  </r>
  <r>
    <d v="2026-05-02T00:00:00"/>
    <s v=" WDL TFR   UPI/DR/695927127926/CHHEDI LAL/UBIN/yadavchhed_x000a_ /Pa   0097695162091 AT 01868 DIESEL LOCO WORKS(VARANASI)"/>
    <s v=""/>
    <n v="15500"/>
    <m/>
    <n v="731293.87"/>
    <x v="13"/>
    <x v="1"/>
    <x v="3"/>
    <n v="-15500"/>
    <x v="13"/>
    <n v="15500"/>
  </r>
  <r>
    <d v="2026-05-02T00:00:00"/>
    <s v=" DEBIT   ACHDr NACH00_x000a_ 000000056369 ETMONEY"/>
    <s v=""/>
    <n v="1500"/>
    <m/>
    <n v="729793.87"/>
    <x v="13"/>
    <x v="1"/>
    <x v="2"/>
    <n v="-1500"/>
    <x v="13"/>
    <n v="1500"/>
  </r>
  <r>
    <d v="2026-05-02T00:00:00"/>
    <s v=" WDL TFR   UPI/DR/733508351839/Bharat C/YESB/SV26042114/P_x000a_ aym   0097695162091 AT 01868 DIESEL LOCO WORKS(VARANASI)"/>
    <s v=""/>
    <n v="1065.82"/>
    <m/>
    <n v="728728.05"/>
    <x v="13"/>
    <x v="1"/>
    <x v="3"/>
    <n v="-1065.82"/>
    <x v="13"/>
    <n v="1065.82"/>
  </r>
  <r>
    <d v="2026-05-03T00:00:00"/>
    <s v=" WDL TFR   UPI/DR/729736593036/ARVIND K/INDB/arvindpate/P_x000a_ aym   0097696162090 AT 01868 DIESEL LOCO WORKS(VARANASI)"/>
    <s v=""/>
    <n v="340"/>
    <m/>
    <n v="728388.05"/>
    <x v="13"/>
    <x v="1"/>
    <x v="3"/>
    <n v="-340"/>
    <x v="13"/>
    <n v="340"/>
  </r>
  <r>
    <d v="2026-05-03T00:00:00"/>
    <s v=" WDL TFR   UPI/DR/250624055909/AJAY KUM/HDFC/ajay784247/P_x000a_ aym   0097696162090 AT 01868 DIESEL LOCO WORKS(VARANASI)"/>
    <s v=""/>
    <n v="150"/>
    <m/>
    <n v="728238.05"/>
    <x v="13"/>
    <x v="1"/>
    <x v="3"/>
    <n v="-150"/>
    <x v="13"/>
    <n v="150"/>
  </r>
  <r>
    <d v="2026-05-03T00:00:00"/>
    <s v=" WDL TFR   UPI/DR/589789878664/IRSHAD K/YESB/Q897283631/P_x000a_ aym   0097696162090 AT 01868 DIESEL LOCO WORKS(VARANASI)"/>
    <s v=""/>
    <n v="2400"/>
    <m/>
    <n v="725838.05"/>
    <x v="13"/>
    <x v="1"/>
    <x v="3"/>
    <n v="-2400"/>
    <x v="13"/>
    <n v="2400"/>
  </r>
  <r>
    <d v="2026-05-03T00:00:00"/>
    <s v=" WDL TFR   UPI/DR/198814229717/RAM SING/YESB/paytmqr6jl/P_x000a_ aym   0097696162090 AT 01868 DIESEL LOCO WORKS(VARANASI)"/>
    <s v=""/>
    <n v="710"/>
    <m/>
    <n v="725128.05"/>
    <x v="13"/>
    <x v="1"/>
    <x v="3"/>
    <n v="-710"/>
    <x v="13"/>
    <n v="710"/>
  </r>
  <r>
    <d v="2026-05-04T00:00:00"/>
    <s v=" WDL TFR   UPI/DR/212677792847/DHIRENDR/SBIN/7752801033/P_x000a_ aym   0097696162090 AT 01868 DIESEL LOCO WORKS(VARANASI)"/>
    <s v=""/>
    <n v="300"/>
    <m/>
    <n v="724828.05"/>
    <x v="13"/>
    <x v="1"/>
    <x v="3"/>
    <n v="-300"/>
    <x v="13"/>
    <n v="300"/>
  </r>
  <r>
    <d v="2026-05-04T00:00:00"/>
    <s v=" DIRECT DR   0043740432393 OF Mr. ANOOP SING_x000a_ H VATSA AT 01868 DIESEL LOCO WORKS(VARANASI)"/>
    <s v=""/>
    <n v="60700"/>
    <m/>
    <n v="664128.05000000005"/>
    <x v="13"/>
    <x v="1"/>
    <x v="1"/>
    <n v="-60700"/>
    <x v="13"/>
    <n v="60700"/>
  </r>
  <r>
    <d v="2026-05-04T00:00:00"/>
    <s v=" DIRECT DR   0043740438351 OF Mr. ANOOP SING_x000a_ H VATSA AT 01868 DIESEL LOCO WORKS(VARANASI)"/>
    <s v=""/>
    <n v="6280"/>
    <m/>
    <n v="657848.05000000005"/>
    <x v="13"/>
    <x v="1"/>
    <x v="1"/>
    <n v="-6280"/>
    <x v="13"/>
    <n v="6280"/>
  </r>
  <r>
    <d v="2026-05-04T00:00:00"/>
    <s v=" DEBIT   ACHDr YESB00709_x000a_ 000028661 TP ACH INDIANE"/>
    <s v=""/>
    <n v="2000"/>
    <m/>
    <n v="655848.05000000005"/>
    <x v="13"/>
    <x v="1"/>
    <x v="1"/>
    <n v="-2000"/>
    <x v="13"/>
    <n v="2000"/>
  </r>
  <r>
    <d v="2026-05-04T00:00:00"/>
    <s v=" DEBIT   ACHDr YESB00709_x000a_ 000028661 TP ACH INDIANE"/>
    <s v=""/>
    <n v="5000"/>
    <m/>
    <n v="650848.05000000005"/>
    <x v="13"/>
    <x v="1"/>
    <x v="1"/>
    <n v="-5000"/>
    <x v="13"/>
    <n v="5000"/>
  </r>
  <r>
    <d v="2026-05-04T00:00:00"/>
    <s v=" DEBIT   ACHDr YESB00709_x000a_ 000028661 TP ACH INDIANE"/>
    <s v=""/>
    <n v="10000"/>
    <m/>
    <n v="640848.05000000005"/>
    <x v="13"/>
    <x v="1"/>
    <x v="1"/>
    <n v="-10000"/>
    <x v="13"/>
    <n v="10000"/>
  </r>
  <r>
    <d v="2026-05-04T00:00:00"/>
    <s v=" DEBIT   ACHDr YESB00709_x000a_ 000028661 TP ACH INDIANE"/>
    <s v=""/>
    <n v="2000"/>
    <m/>
    <n v="638848.05000000005"/>
    <x v="13"/>
    <x v="1"/>
    <x v="1"/>
    <n v="-2000"/>
    <x v="13"/>
    <n v="2000"/>
  </r>
  <r>
    <d v="2026-05-04T00:00:00"/>
    <s v=" DEBIT   ACHDr YESB00709_x000a_ 000028661 TP ACH INDIANE"/>
    <s v=""/>
    <n v="2000"/>
    <m/>
    <n v="636848.05000000005"/>
    <x v="13"/>
    <x v="1"/>
    <x v="1"/>
    <n v="-2000"/>
    <x v="13"/>
    <n v="2000"/>
  </r>
  <r>
    <d v="2026-05-04T00:00:00"/>
    <s v=" DEBIT   ACHDr YESB00709_x000a_ 000028661 TP ACH INDIANE"/>
    <s v=""/>
    <n v="3000"/>
    <m/>
    <n v="633848.05000000005"/>
    <x v="13"/>
    <x v="1"/>
    <x v="1"/>
    <n v="-3000"/>
    <x v="13"/>
    <n v="3000"/>
  </r>
  <r>
    <d v="2026-05-04T00:00:00"/>
    <s v=" WDL TFR   UPI/DR/834470905530/LENSKART/YESB/LENSKARTOF/P_x000a_ aym   0097690162095 AT 01868 DIESEL LOCO WORKS(VARANASI)"/>
    <s v=""/>
    <n v="5039"/>
    <m/>
    <n v="628809.05000000005"/>
    <x v="13"/>
    <x v="1"/>
    <x v="3"/>
    <n v="-5039"/>
    <x v="13"/>
    <n v="5039"/>
  </r>
  <r>
    <d v="2026-05-05T00:00:00"/>
    <s v=" ATM WDL   ATM CASH 8606      _x000a_    ATM DLW               VARAN"/>
    <s v=""/>
    <n v="8000"/>
    <m/>
    <n v="620809.05000000005"/>
    <x v="13"/>
    <x v="1"/>
    <x v="7"/>
    <n v="-8000"/>
    <x v="13"/>
    <n v="8000"/>
  </r>
  <r>
    <d v="2026-05-05T00:00:00"/>
    <s v=" WDL TFR    UPI/DR/612505835958/Ketto On/YESB/paytm-8772/_x000a_ OidO   0097691162095 AT 01868 DIESEL LOCO WORKS(VARANASI)"/>
    <s v=""/>
    <n v="50"/>
    <m/>
    <n v="620759.05000000005"/>
    <x v="13"/>
    <x v="1"/>
    <x v="3"/>
    <n v="-50"/>
    <x v="13"/>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D4CDA1-3511-4F74-8A0D-2970A7181C0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A6:C21" firstHeaderRow="1" firstDataRow="2" firstDataCol="1"/>
  <pivotFields count="15">
    <pivotField numFmtId="164" showAll="0"/>
    <pivotField showAll="0"/>
    <pivotField showAll="0"/>
    <pivotField showAll="0"/>
    <pivotField showAll="0"/>
    <pivotField numFmtId="1" showAll="0"/>
    <pivotField showAll="0">
      <items count="15">
        <item x="0"/>
        <item x="12"/>
        <item x="4"/>
        <item x="8"/>
        <item x="10"/>
        <item x="9"/>
        <item x="3"/>
        <item x="2"/>
        <item x="11"/>
        <item x="1"/>
        <item x="13"/>
        <item x="7"/>
        <item x="6"/>
        <item x="5"/>
        <item t="default"/>
      </items>
    </pivotField>
    <pivotField axis="axisCol" showAll="0">
      <items count="3">
        <item x="1"/>
        <item x="0"/>
        <item t="default"/>
      </items>
    </pivotField>
    <pivotField multipleItemSelectionAllowed="1" showAll="0">
      <items count="11">
        <item x="7"/>
        <item x="1"/>
        <item x="0"/>
        <item x="2"/>
        <item x="4"/>
        <item x="5"/>
        <item x="9"/>
        <item x="6"/>
        <item x="8"/>
        <item x="3"/>
        <item t="default"/>
      </items>
    </pivotField>
    <pivotField numFmtId="1" showAll="0"/>
    <pivotField axis="axisRow" numFmtId="165" showAll="0">
      <items count="15">
        <item x="0"/>
        <item x="1"/>
        <item x="2"/>
        <item x="3"/>
        <item x="4"/>
        <item x="5"/>
        <item x="6"/>
        <item x="7"/>
        <item x="8"/>
        <item x="9"/>
        <item x="10"/>
        <item x="11"/>
        <item x="12"/>
        <item x="13"/>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0"/>
  </rowFields>
  <rowItems count="14">
    <i>
      <x/>
    </i>
    <i>
      <x v="1"/>
    </i>
    <i>
      <x v="2"/>
    </i>
    <i>
      <x v="3"/>
    </i>
    <i>
      <x v="4"/>
    </i>
    <i>
      <x v="5"/>
    </i>
    <i>
      <x v="6"/>
    </i>
    <i>
      <x v="7"/>
    </i>
    <i>
      <x v="8"/>
    </i>
    <i>
      <x v="9"/>
    </i>
    <i>
      <x v="10"/>
    </i>
    <i>
      <x v="11"/>
    </i>
    <i>
      <x v="12"/>
    </i>
    <i>
      <x v="13"/>
    </i>
  </rowItems>
  <colFields count="1">
    <field x="7"/>
  </colFields>
  <colItems count="2">
    <i>
      <x/>
    </i>
    <i>
      <x v="1"/>
    </i>
  </colItems>
  <dataFields count="1">
    <dataField name="Sum of Amount(Positive)" fld="11" baseField="0" baseItem="0"/>
  </dataFields>
  <chartFormats count="4">
    <chartFormat chart="17" format="0" series="1">
      <pivotArea type="data" outline="0" fieldPosition="0">
        <references count="1">
          <reference field="4294967294" count="1" selected="0">
            <x v="0"/>
          </reference>
        </references>
      </pivotArea>
    </chartFormat>
    <chartFormat chart="33" format="2" series="1">
      <pivotArea type="data" outline="0" fieldPosition="0">
        <references count="2">
          <reference field="4294967294" count="1" selected="0">
            <x v="0"/>
          </reference>
          <reference field="7" count="1" selected="0">
            <x v="0"/>
          </reference>
        </references>
      </pivotArea>
    </chartFormat>
    <chartFormat chart="33" format="3" series="1">
      <pivotArea type="data" outline="0" fieldPosition="0">
        <references count="2">
          <reference field="4294967294" count="1" selected="0">
            <x v="0"/>
          </reference>
          <reference field="7" count="1" selected="0">
            <x v="1"/>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6C6B4C-8737-4CA9-8F9E-D045773C171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6:B14" firstHeaderRow="1" firstDataRow="1" firstDataCol="1" rowPageCount="1" colPageCount="1"/>
  <pivotFields count="15">
    <pivotField numFmtId="164" showAll="0"/>
    <pivotField showAll="0"/>
    <pivotField showAll="0"/>
    <pivotField showAll="0"/>
    <pivotField showAll="0"/>
    <pivotField numFmtId="1" showAll="0"/>
    <pivotField showAll="0"/>
    <pivotField axis="axisPage" showAll="0">
      <items count="3">
        <item x="1"/>
        <item x="0"/>
        <item t="default"/>
      </items>
    </pivotField>
    <pivotField axis="axisRow" showAll="0" sortType="descending">
      <items count="11">
        <item x="7"/>
        <item x="1"/>
        <item x="0"/>
        <item x="2"/>
        <item x="4"/>
        <item x="5"/>
        <item x="9"/>
        <item x="6"/>
        <item x="8"/>
        <item x="3"/>
        <item t="default"/>
      </items>
      <autoSortScope>
        <pivotArea dataOnly="0" outline="0" fieldPosition="0">
          <references count="1">
            <reference field="4294967294" count="1" selected="0">
              <x v="0"/>
            </reference>
          </references>
        </pivotArea>
      </autoSortScope>
    </pivotField>
    <pivotField numFmtId="1" showAll="0"/>
    <pivotField numFmtId="165" showAll="0">
      <items count="15">
        <item x="0"/>
        <item x="1"/>
        <item x="2"/>
        <item x="3"/>
        <item x="4"/>
        <item x="5"/>
        <item x="6"/>
        <item x="7"/>
        <item x="8"/>
        <item x="9"/>
        <item x="10"/>
        <item x="11"/>
        <item x="12"/>
        <item x="13"/>
        <item t="default"/>
      </items>
    </pivotField>
    <pivotField dataField="1" showAll="0"/>
    <pivotField showAll="0" defaultSubtotal="0"/>
    <pivotField showAll="0" defaultSubtotal="0"/>
    <pivotField showAll="0" defaultSubtotal="0">
      <items count="4">
        <item x="0"/>
        <item x="1"/>
        <item x="2"/>
        <item x="3"/>
      </items>
    </pivotField>
  </pivotFields>
  <rowFields count="1">
    <field x="8"/>
  </rowFields>
  <rowItems count="8">
    <i>
      <x v="9"/>
    </i>
    <i>
      <x v="1"/>
    </i>
    <i>
      <x/>
    </i>
    <i>
      <x v="8"/>
    </i>
    <i>
      <x v="7"/>
    </i>
    <i>
      <x v="5"/>
    </i>
    <i>
      <x v="3"/>
    </i>
    <i t="grand">
      <x/>
    </i>
  </rowItems>
  <colItems count="1">
    <i/>
  </colItems>
  <pageFields count="1">
    <pageField fld="7" item="0" hier="-1"/>
  </pageFields>
  <dataFields count="1">
    <dataField name="Sum of Amount(Positive)" fld="11" baseField="8" baseItem="5" numFmtId="1"/>
  </dataFields>
  <chartFormats count="8">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8" count="1" selected="0">
            <x v="9"/>
          </reference>
        </references>
      </pivotArea>
    </chartFormat>
    <chartFormat chart="9" format="3">
      <pivotArea type="data" outline="0" fieldPosition="0">
        <references count="2">
          <reference field="4294967294" count="1" selected="0">
            <x v="0"/>
          </reference>
          <reference field="8" count="1" selected="0">
            <x v="1"/>
          </reference>
        </references>
      </pivotArea>
    </chartFormat>
    <chartFormat chart="9" format="4">
      <pivotArea type="data" outline="0" fieldPosition="0">
        <references count="2">
          <reference field="4294967294" count="1" selected="0">
            <x v="0"/>
          </reference>
          <reference field="8" count="1" selected="0">
            <x v="0"/>
          </reference>
        </references>
      </pivotArea>
    </chartFormat>
    <chartFormat chart="9" format="5">
      <pivotArea type="data" outline="0" fieldPosition="0">
        <references count="2">
          <reference field="4294967294" count="1" selected="0">
            <x v="0"/>
          </reference>
          <reference field="8" count="1" selected="0">
            <x v="8"/>
          </reference>
        </references>
      </pivotArea>
    </chartFormat>
    <chartFormat chart="9" format="6">
      <pivotArea type="data" outline="0" fieldPosition="0">
        <references count="2">
          <reference field="4294967294" count="1" selected="0">
            <x v="0"/>
          </reference>
          <reference field="8" count="1" selected="0">
            <x v="7"/>
          </reference>
        </references>
      </pivotArea>
    </chartFormat>
    <chartFormat chart="9" format="7">
      <pivotArea type="data" outline="0" fieldPosition="0">
        <references count="2">
          <reference field="4294967294" count="1" selected="0">
            <x v="0"/>
          </reference>
          <reference field="8" count="1" selected="0">
            <x v="5"/>
          </reference>
        </references>
      </pivotArea>
    </chartFormat>
    <chartFormat chart="9" format="8">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7429FB-C1CC-4F9F-912C-984A065637E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9" rowHeaderCaption="Months" colHeaderCaption="Category">
  <location ref="A4:B18" firstHeaderRow="1" firstDataRow="1" firstDataCol="1"/>
  <pivotFields count="15">
    <pivotField numFmtId="164" showAll="0"/>
    <pivotField showAll="0"/>
    <pivotField showAll="0"/>
    <pivotField showAll="0"/>
    <pivotField showAll="0"/>
    <pivotField numFmtId="1" showAll="0"/>
    <pivotField showAll="0"/>
    <pivotField showAll="0">
      <items count="3">
        <item h="1" x="1"/>
        <item x="0"/>
        <item t="default"/>
      </items>
    </pivotField>
    <pivotField showAll="0">
      <items count="11">
        <item x="7"/>
        <item x="1"/>
        <item x="0"/>
        <item x="2"/>
        <item x="4"/>
        <item x="5"/>
        <item x="6"/>
        <item x="8"/>
        <item x="3"/>
        <item x="9"/>
        <item t="default"/>
      </items>
    </pivotField>
    <pivotField dataField="1" numFmtId="1" showAll="0"/>
    <pivotField axis="axisRow" numFmtId="165" showAll="0">
      <items count="15">
        <item x="0"/>
        <item x="1"/>
        <item x="2"/>
        <item x="3"/>
        <item x="4"/>
        <item x="5"/>
        <item x="6"/>
        <item x="7"/>
        <item x="8"/>
        <item x="9"/>
        <item x="10"/>
        <item x="11"/>
        <item x="12"/>
        <item x="13"/>
        <item t="default"/>
      </items>
    </pivotField>
    <pivotField showAll="0"/>
    <pivotField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showAll="0" sortType="ascending">
      <items count="5">
        <item sd="0" x="0"/>
        <item sd="0" x="3"/>
        <item sd="0" x="1"/>
        <item sd="0" x="2"/>
        <item t="default"/>
      </items>
    </pivotField>
  </pivotFields>
  <rowFields count="1">
    <field x="10"/>
  </rowFields>
  <rowItems count="14">
    <i>
      <x/>
    </i>
    <i>
      <x v="1"/>
    </i>
    <i>
      <x v="2"/>
    </i>
    <i>
      <x v="3"/>
    </i>
    <i>
      <x v="4"/>
    </i>
    <i>
      <x v="5"/>
    </i>
    <i>
      <x v="6"/>
    </i>
    <i>
      <x v="7"/>
    </i>
    <i>
      <x v="8"/>
    </i>
    <i>
      <x v="9"/>
    </i>
    <i>
      <x v="10"/>
    </i>
    <i>
      <x v="11"/>
    </i>
    <i>
      <x v="12"/>
    </i>
    <i>
      <x v="13"/>
    </i>
  </rowItems>
  <colItems count="1">
    <i/>
  </colItems>
  <dataFields count="1">
    <dataField name="Net Saving" fld="9" baseField="10" baseItem="0" numFmtId="1"/>
  </dataFields>
  <chartFormats count="1">
    <chartFormat chart="5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v>Home with solid fill</v>
  </rv>
  <rv s="0">
    <v>1</v>
    <v>5</v>
    <v>Checklist with solid fill</v>
  </rv>
  <rv s="0">
    <v>2</v>
    <v>5</v>
    <v>Bar graph with upward trend with solid fill</v>
  </rv>
  <rv s="0">
    <v>3</v>
    <v>5</v>
    <v>Bar graph with downward trend with solid fill</v>
  </rv>
  <rv s="0">
    <v>4</v>
    <v>5</v>
    <v>Upward trend with solid fill</v>
  </rv>
  <rv s="0">
    <v>5</v>
    <v>5</v>
    <v>Bar graph with downward trend with solid fill</v>
  </rv>
  <rv s="0">
    <v>6</v>
    <v>5</v>
    <v>Upward trend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Proper" xr10:uid="{C69CDACF-A2E1-4CCD-8C03-7387D2E3B970}" sourceName="Month(Proper)">
  <pivotTables>
    <pivotTable tabId="10" name="PivotTable2"/>
    <pivotTable tabId="11" name="PivotTable1"/>
    <pivotTable tabId="5" name="PivotTable2"/>
  </pivotTables>
  <data>
    <tabular pivotCacheId="1082365453">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_Income_Expense" xr10:uid="{CB2E71D6-8D3C-48BD-A5C0-808D9ADD0AC2}" sourceName="Type (Income/Expense)">
  <pivotTables>
    <pivotTable tabId="10" name="PivotTable2"/>
  </pivotTables>
  <data>
    <tabular pivotCacheId="10823654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Proper) 1" xr10:uid="{BF0B3ED6-3B3E-474B-A7E0-0BD39A5076A7}" cache="Slicer_Month_Proper" caption="Month(Proper)" columnCount="14" showCaption="0" rowHeight="288000"/>
  <slicer name="Type (Income/Expense)" xr10:uid="{7D1CF4D8-6BE4-4560-809A-12997654BD70}" cache="Slicer_Type__Income_Expense" caption="Type (Income/Expens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A3486D-70D4-484F-AFCB-DA5DF0327E60}" name="Account_Data" displayName="Account_Data" ref="A1:K910" totalsRowCount="1" headerRowDxfId="21" dataDxfId="20">
  <autoFilter ref="A1:K909" xr:uid="{84A3486D-70D4-484F-AFCB-DA5DF0327E60}"/>
  <sortState xmlns:xlrd2="http://schemas.microsoft.com/office/spreadsheetml/2017/richdata2" ref="A12:K763">
    <sortCondition ref="A1:A763"/>
  </sortState>
  <tableColumns count="11">
    <tableColumn id="1" xr3:uid="{59DF83D3-2F36-4776-BEC5-E1B448BB4F50}" name="Date" dataDxfId="19" totalsRowDxfId="4"/>
    <tableColumn id="2" xr3:uid="{3E44BFDD-9EE3-4FD5-ACC6-2D24A4AE6A05}" name="Details" dataDxfId="18"/>
    <tableColumn id="4" xr3:uid="{B9D0DC3D-7D37-4947-8923-A6C9BECEC7A8}" name="Debit" dataDxfId="17" totalsRowDxfId="3"/>
    <tableColumn id="5" xr3:uid="{54EB49F1-415F-496F-B027-D559D9DB854F}" name="Credit" dataDxfId="16" totalsRowDxfId="2"/>
    <tableColumn id="6" xr3:uid="{7984D770-E8F3-4455-8F26-1DFF808105B7}" name="Balance" dataDxfId="15" totalsRowDxfId="1"/>
    <tableColumn id="7" xr3:uid="{5E6D695D-2878-4BE4-96CF-5B28736CC339}" name="Month" dataDxfId="14">
      <calculatedColumnFormula>TEXT(Account_Data[[#This Row],[Date]],"mmm-yyyy")</calculatedColumnFormula>
    </tableColumn>
    <tableColumn id="8" xr3:uid="{098D8085-F690-4DED-B66D-800D9386B442}" name="Type (Income/Expense)" dataDxfId="13">
      <calculatedColumnFormula>IF(Account_Data[[#This Row],[Credit]]&gt;0,"Income","Expense")</calculatedColumnFormula>
    </tableColumn>
    <tableColumn id="9" xr3:uid="{63BC52A2-6563-44D5-B06F-36170D3AB6FC}" name="Category" dataDxfId="12">
      <calculatedColumnFormula>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calculatedColumnFormula>
    </tableColumn>
    <tableColumn id="10" xr3:uid="{889ABBB2-3F8E-49D5-B76E-1481D3436D6D}" name="Amount" dataDxfId="11">
      <calculatedColumnFormula>Account_Data[[#This Row],[Credit]]-Account_Data[[#This Row],[Debit]]</calculatedColumnFormula>
    </tableColumn>
    <tableColumn id="11" xr3:uid="{2D7A66CD-02AB-4EE0-BEBC-F22AE745A3B2}" name="Month(Proper)" dataDxfId="10" totalsRowDxfId="0">
      <calculatedColumnFormula>EOMONTH(Account_Data[[#This Row],[Date]],0)</calculatedColumnFormula>
    </tableColumn>
    <tableColumn id="12" xr3:uid="{8BD58D3E-1A2C-4A56-8F32-1231C905436F}" name="Amount(Positive)" dataDxfId="9">
      <calculatedColumnFormula>ABS(Account_Data[[#This Row],[Amount]])</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DE162AF-3319-4940-AE74-5C6726924A45}">
  <we:reference id="wa200009404" version="1.0.0.8" store="en-US" storeType="OMEX"/>
  <we:alternateReferences>
    <we:reference id="WA200009404" version="1.0.0.8" store="" storeType="OMEX"/>
  </we:alternateReferences>
  <we:properties>
    <we:property name="claude.fileId" value="&quot;60f1bee8-2ec0-4b93-a309-64008c211a9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A1986-3C4E-411F-88AD-487DCFDCA0D3}">
  <dimension ref="A1:M918"/>
  <sheetViews>
    <sheetView zoomScale="56" workbookViewId="0">
      <selection activeCell="B129" sqref="B129"/>
    </sheetView>
  </sheetViews>
  <sheetFormatPr defaultRowHeight="14.5" x14ac:dyDescent="0.35"/>
  <cols>
    <col min="1" max="1" width="29.7265625" style="73" bestFit="1" customWidth="1"/>
    <col min="2" max="2" width="125.453125" bestFit="1" customWidth="1"/>
    <col min="3" max="4" width="10.453125" style="3" bestFit="1" customWidth="1"/>
    <col min="5" max="5" width="12.453125" style="3" bestFit="1" customWidth="1"/>
    <col min="6" max="6" width="11.1796875" bestFit="1" customWidth="1"/>
    <col min="7" max="7" width="22.453125" customWidth="1"/>
    <col min="8" max="8" width="20.54296875" customWidth="1"/>
    <col min="9" max="9" width="13.26953125" customWidth="1"/>
    <col min="10" max="10" width="18.1796875" style="7" bestFit="1" customWidth="1"/>
    <col min="11" max="11" width="20.1796875" bestFit="1" customWidth="1"/>
  </cols>
  <sheetData>
    <row r="1" spans="1:11" x14ac:dyDescent="0.35">
      <c r="A1" s="72" t="s">
        <v>7</v>
      </c>
      <c r="B1" s="1" t="s">
        <v>8</v>
      </c>
      <c r="C1" s="2" t="s">
        <v>3</v>
      </c>
      <c r="D1" s="2" t="s">
        <v>4</v>
      </c>
      <c r="E1" s="2" t="s">
        <v>9</v>
      </c>
      <c r="F1" s="1" t="s">
        <v>0</v>
      </c>
      <c r="G1" s="1" t="s">
        <v>10</v>
      </c>
      <c r="H1" s="1" t="s">
        <v>1</v>
      </c>
      <c r="I1" s="1" t="s">
        <v>11</v>
      </c>
      <c r="J1" s="6" t="s">
        <v>12</v>
      </c>
      <c r="K1" s="1" t="s">
        <v>13</v>
      </c>
    </row>
    <row r="2" spans="1:11" x14ac:dyDescent="0.35">
      <c r="A2" s="73">
        <v>45748</v>
      </c>
      <c r="B2" t="s">
        <v>485</v>
      </c>
      <c r="D2" s="3">
        <v>114008</v>
      </c>
      <c r="E2" s="3">
        <v>115118.18</v>
      </c>
      <c r="F2" t="str">
        <f>TEXT(Account_Data[[#This Row],[Date]],"mmm-yyyy")</f>
        <v>Apr-2025</v>
      </c>
      <c r="G2" t="str">
        <f>IF(Account_Data[[#This Row],[Credit]]&gt;0,"Income","Expense")</f>
        <v>Income</v>
      </c>
      <c r="H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2" s="3">
        <f>Account_Data[[#This Row],[Credit]]-Account_Data[[#This Row],[Debit]]</f>
        <v>114008</v>
      </c>
      <c r="J2" s="7">
        <f>EOMONTH(Account_Data[[#This Row],[Date]],0)</f>
        <v>45777</v>
      </c>
      <c r="K2">
        <f>ABS(Account_Data[[#This Row],[Amount]])</f>
        <v>114008</v>
      </c>
    </row>
    <row r="3" spans="1:11" x14ac:dyDescent="0.35">
      <c r="A3" s="73">
        <v>45749</v>
      </c>
      <c r="B3" t="s">
        <v>89</v>
      </c>
      <c r="C3" s="3">
        <v>2000</v>
      </c>
      <c r="E3" s="3">
        <v>113118.18</v>
      </c>
      <c r="F3" t="str">
        <f>TEXT(Account_Data[[#This Row],[Date]],"mmm-yyyy")</f>
        <v>Apr-2025</v>
      </c>
      <c r="G3" t="str">
        <f>IF(Account_Data[[#This Row],[Credit]]&gt;0,"Income","Expense")</f>
        <v>Expense</v>
      </c>
      <c r="H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 s="3">
        <f>Account_Data[[#This Row],[Credit]]-Account_Data[[#This Row],[Debit]]</f>
        <v>-2000</v>
      </c>
      <c r="J3" s="7">
        <f>EOMONTH(Account_Data[[#This Row],[Date]],0)</f>
        <v>45777</v>
      </c>
      <c r="K3">
        <f>ABS(Account_Data[[#This Row],[Amount]])</f>
        <v>2000</v>
      </c>
    </row>
    <row r="4" spans="1:11" x14ac:dyDescent="0.35">
      <c r="A4" s="73">
        <v>45749</v>
      </c>
      <c r="B4" t="s">
        <v>89</v>
      </c>
      <c r="C4" s="3">
        <v>2000</v>
      </c>
      <c r="E4" s="3">
        <v>111118.18</v>
      </c>
      <c r="F4" t="str">
        <f>TEXT(Account_Data[[#This Row],[Date]],"mmm-yyyy")</f>
        <v>Apr-2025</v>
      </c>
      <c r="G4" t="str">
        <f>IF(Account_Data[[#This Row],[Credit]]&gt;0,"Income","Expense")</f>
        <v>Expense</v>
      </c>
      <c r="H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 s="3">
        <f>Account_Data[[#This Row],[Credit]]-Account_Data[[#This Row],[Debit]]</f>
        <v>-2000</v>
      </c>
      <c r="J4" s="7">
        <f>EOMONTH(Account_Data[[#This Row],[Date]],0)</f>
        <v>45777</v>
      </c>
      <c r="K4">
        <f>ABS(Account_Data[[#This Row],[Amount]])</f>
        <v>2000</v>
      </c>
    </row>
    <row r="5" spans="1:11" x14ac:dyDescent="0.35">
      <c r="A5" s="73">
        <v>45749</v>
      </c>
      <c r="B5" t="s">
        <v>89</v>
      </c>
      <c r="C5" s="3">
        <v>3000</v>
      </c>
      <c r="E5" s="3">
        <v>108118.18</v>
      </c>
      <c r="F5" t="str">
        <f>TEXT(Account_Data[[#This Row],[Date]],"mmm-yyyy")</f>
        <v>Apr-2025</v>
      </c>
      <c r="G5" t="str">
        <f>IF(Account_Data[[#This Row],[Credit]]&gt;0,"Income","Expense")</f>
        <v>Expense</v>
      </c>
      <c r="H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 s="3">
        <f>Account_Data[[#This Row],[Credit]]-Account_Data[[#This Row],[Debit]]</f>
        <v>-3000</v>
      </c>
      <c r="J5" s="7">
        <f>EOMONTH(Account_Data[[#This Row],[Date]],0)</f>
        <v>45777</v>
      </c>
      <c r="K5">
        <f>ABS(Account_Data[[#This Row],[Amount]])</f>
        <v>3000</v>
      </c>
    </row>
    <row r="6" spans="1:11" x14ac:dyDescent="0.35">
      <c r="A6" s="73">
        <v>45749</v>
      </c>
      <c r="B6" t="s">
        <v>89</v>
      </c>
      <c r="C6" s="3">
        <v>2000</v>
      </c>
      <c r="E6" s="3">
        <v>106118.18</v>
      </c>
      <c r="F6" t="str">
        <f>TEXT(Account_Data[[#This Row],[Date]],"mmm-yyyy")</f>
        <v>Apr-2025</v>
      </c>
      <c r="G6" t="str">
        <f>IF(Account_Data[[#This Row],[Credit]]&gt;0,"Income","Expense")</f>
        <v>Expense</v>
      </c>
      <c r="H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 s="3">
        <f>Account_Data[[#This Row],[Credit]]-Account_Data[[#This Row],[Debit]]</f>
        <v>-2000</v>
      </c>
      <c r="J6" s="7">
        <f>EOMONTH(Account_Data[[#This Row],[Date]],0)</f>
        <v>45777</v>
      </c>
      <c r="K6">
        <f>ABS(Account_Data[[#This Row],[Amount]])</f>
        <v>2000</v>
      </c>
    </row>
    <row r="7" spans="1:11" x14ac:dyDescent="0.35">
      <c r="A7" s="73">
        <v>45749</v>
      </c>
      <c r="B7" t="s">
        <v>89</v>
      </c>
      <c r="C7" s="3">
        <v>5000</v>
      </c>
      <c r="E7" s="3">
        <v>101118.18</v>
      </c>
      <c r="F7" t="str">
        <f>TEXT(Account_Data[[#This Row],[Date]],"mmm-yyyy")</f>
        <v>Apr-2025</v>
      </c>
      <c r="G7" t="str">
        <f>IF(Account_Data[[#This Row],[Credit]]&gt;0,"Income","Expense")</f>
        <v>Expense</v>
      </c>
      <c r="H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 s="3">
        <f>Account_Data[[#This Row],[Credit]]-Account_Data[[#This Row],[Debit]]</f>
        <v>-5000</v>
      </c>
      <c r="J7" s="7">
        <f>EOMONTH(Account_Data[[#This Row],[Date]],0)</f>
        <v>45777</v>
      </c>
      <c r="K7">
        <f>ABS(Account_Data[[#This Row],[Amount]])</f>
        <v>5000</v>
      </c>
    </row>
    <row r="8" spans="1:11" x14ac:dyDescent="0.35">
      <c r="A8" s="73">
        <v>45749</v>
      </c>
      <c r="B8" t="s">
        <v>89</v>
      </c>
      <c r="C8" s="3">
        <v>5000</v>
      </c>
      <c r="E8" s="3">
        <v>96118.18</v>
      </c>
      <c r="F8" t="str">
        <f>TEXT(Account_Data[[#This Row],[Date]],"mmm-yyyy")</f>
        <v>Apr-2025</v>
      </c>
      <c r="G8" t="str">
        <f>IF(Account_Data[[#This Row],[Credit]]&gt;0,"Income","Expense")</f>
        <v>Expense</v>
      </c>
      <c r="H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8" s="3">
        <f>Account_Data[[#This Row],[Credit]]-Account_Data[[#This Row],[Debit]]</f>
        <v>-5000</v>
      </c>
      <c r="J8" s="7">
        <f>EOMONTH(Account_Data[[#This Row],[Date]],0)</f>
        <v>45777</v>
      </c>
      <c r="K8">
        <f>ABS(Account_Data[[#This Row],[Amount]])</f>
        <v>5000</v>
      </c>
    </row>
    <row r="9" spans="1:11" x14ac:dyDescent="0.35">
      <c r="A9" s="73">
        <v>45749</v>
      </c>
      <c r="B9" t="s">
        <v>90</v>
      </c>
      <c r="C9" s="3">
        <v>1500</v>
      </c>
      <c r="E9" s="3">
        <v>94618.18</v>
      </c>
      <c r="F9" t="str">
        <f>TEXT(Account_Data[[#This Row],[Date]],"mmm-yyyy")</f>
        <v>Apr-2025</v>
      </c>
      <c r="G9" t="str">
        <f>IF(Account_Data[[#This Row],[Credit]]&gt;0,"Income","Expense")</f>
        <v>Expense</v>
      </c>
      <c r="H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9" s="3">
        <f>Account_Data[[#This Row],[Credit]]-Account_Data[[#This Row],[Debit]]</f>
        <v>-1500</v>
      </c>
      <c r="J9" s="7">
        <f>EOMONTH(Account_Data[[#This Row],[Date]],0)</f>
        <v>45777</v>
      </c>
      <c r="K9">
        <f>ABS(Account_Data[[#This Row],[Amount]])</f>
        <v>1500</v>
      </c>
    </row>
    <row r="10" spans="1:11" x14ac:dyDescent="0.35">
      <c r="A10" s="73">
        <v>45749</v>
      </c>
      <c r="B10" t="s">
        <v>90</v>
      </c>
      <c r="C10" s="3">
        <v>1000</v>
      </c>
      <c r="E10" s="3">
        <v>93618.18</v>
      </c>
      <c r="F10" t="str">
        <f>TEXT(Account_Data[[#This Row],[Date]],"mmm-yyyy")</f>
        <v>Apr-2025</v>
      </c>
      <c r="G10" t="str">
        <f>IF(Account_Data[[#This Row],[Credit]]&gt;0,"Income","Expense")</f>
        <v>Expense</v>
      </c>
      <c r="H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10" s="3">
        <f>Account_Data[[#This Row],[Credit]]-Account_Data[[#This Row],[Debit]]</f>
        <v>-1000</v>
      </c>
      <c r="J10" s="7">
        <f>EOMONTH(Account_Data[[#This Row],[Date]],0)</f>
        <v>45777</v>
      </c>
      <c r="K10">
        <f>ABS(Account_Data[[#This Row],[Amount]])</f>
        <v>1000</v>
      </c>
    </row>
    <row r="11" spans="1:11" x14ac:dyDescent="0.35">
      <c r="A11" s="73">
        <v>45751</v>
      </c>
      <c r="B11" t="s">
        <v>91</v>
      </c>
      <c r="C11" s="3">
        <v>6280</v>
      </c>
      <c r="E11" s="3">
        <v>87338.18</v>
      </c>
      <c r="F11" t="str">
        <f>TEXT(Account_Data[[#This Row],[Date]],"mmm-yyyy")</f>
        <v>Apr-2025</v>
      </c>
      <c r="G11" t="str">
        <f>IF(Account_Data[[#This Row],[Credit]]&gt;0,"Income","Expense")</f>
        <v>Expense</v>
      </c>
      <c r="H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1" s="3">
        <f>Account_Data[[#This Row],[Credit]]-Account_Data[[#This Row],[Debit]]</f>
        <v>-6280</v>
      </c>
      <c r="J11" s="7">
        <f>EOMONTH(Account_Data[[#This Row],[Date]],0)</f>
        <v>45777</v>
      </c>
      <c r="K11">
        <f>ABS(Account_Data[[#This Row],[Amount]])</f>
        <v>6280</v>
      </c>
    </row>
    <row r="12" spans="1:11" x14ac:dyDescent="0.35">
      <c r="A12" s="73">
        <v>45751</v>
      </c>
      <c r="B12" t="s">
        <v>145</v>
      </c>
      <c r="C12" s="3">
        <v>25000</v>
      </c>
      <c r="E12" s="3">
        <v>62338.18</v>
      </c>
      <c r="F12" t="str">
        <f>TEXT(Account_Data[[#This Row],[Date]],"mmm-yyyy")</f>
        <v>Apr-2025</v>
      </c>
      <c r="G12" t="str">
        <f>IF(Account_Data[[#This Row],[Credit]]&gt;0,"Income","Expense")</f>
        <v>Expense</v>
      </c>
      <c r="H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 s="3">
        <f>Account_Data[[#This Row],[Credit]]-Account_Data[[#This Row],[Debit]]</f>
        <v>-25000</v>
      </c>
      <c r="J12" s="7">
        <f>EOMONTH(Account_Data[[#This Row],[Date]],0)</f>
        <v>45777</v>
      </c>
      <c r="K12">
        <f>ABS(Account_Data[[#This Row],[Amount]])</f>
        <v>25000</v>
      </c>
    </row>
    <row r="13" spans="1:11" x14ac:dyDescent="0.35">
      <c r="A13" s="73">
        <v>45752</v>
      </c>
      <c r="B13" t="s">
        <v>146</v>
      </c>
      <c r="C13" s="3">
        <v>50</v>
      </c>
      <c r="E13" s="3">
        <v>62288.18</v>
      </c>
      <c r="F13" t="str">
        <f>TEXT(Account_Data[[#This Row],[Date]],"mmm-yyyy")</f>
        <v>Apr-2025</v>
      </c>
      <c r="G13" t="str">
        <f>IF(Account_Data[[#This Row],[Credit]]&gt;0,"Income","Expense")</f>
        <v>Expense</v>
      </c>
      <c r="H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3" s="3">
        <f>Account_Data[[#This Row],[Credit]]-Account_Data[[#This Row],[Debit]]</f>
        <v>-50</v>
      </c>
      <c r="J13" s="7">
        <f>EOMONTH(Account_Data[[#This Row],[Date]],0)</f>
        <v>45777</v>
      </c>
      <c r="K13">
        <f>ABS(Account_Data[[#This Row],[Amount]])</f>
        <v>50</v>
      </c>
    </row>
    <row r="14" spans="1:11" x14ac:dyDescent="0.35">
      <c r="A14" s="73">
        <v>45752</v>
      </c>
      <c r="B14" t="s">
        <v>92</v>
      </c>
      <c r="C14" s="3">
        <v>25394.71</v>
      </c>
      <c r="E14" s="3">
        <v>36893.47</v>
      </c>
      <c r="F14" t="str">
        <f>TEXT(Account_Data[[#This Row],[Date]],"mmm-yyyy")</f>
        <v>Apr-2025</v>
      </c>
      <c r="G14" t="str">
        <f>IF(Account_Data[[#This Row],[Credit]]&gt;0,"Income","Expense")</f>
        <v>Expense</v>
      </c>
      <c r="H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4" s="3">
        <f>Account_Data[[#This Row],[Credit]]-Account_Data[[#This Row],[Debit]]</f>
        <v>-25394.71</v>
      </c>
      <c r="J14" s="7">
        <f>EOMONTH(Account_Data[[#This Row],[Date]],0)</f>
        <v>45777</v>
      </c>
      <c r="K14">
        <f>ABS(Account_Data[[#This Row],[Amount]])</f>
        <v>25394.71</v>
      </c>
    </row>
    <row r="15" spans="1:11" x14ac:dyDescent="0.35">
      <c r="A15" s="73">
        <v>45754</v>
      </c>
      <c r="B15" t="s">
        <v>91</v>
      </c>
      <c r="C15" s="3">
        <v>8704</v>
      </c>
      <c r="E15" s="3">
        <v>28189.47</v>
      </c>
      <c r="F15" t="str">
        <f>TEXT(Account_Data[[#This Row],[Date]],"mmm-yyyy")</f>
        <v>Apr-2025</v>
      </c>
      <c r="G15" t="str">
        <f>IF(Account_Data[[#This Row],[Credit]]&gt;0,"Income","Expense")</f>
        <v>Expense</v>
      </c>
      <c r="H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5" s="3">
        <f>Account_Data[[#This Row],[Credit]]-Account_Data[[#This Row],[Debit]]</f>
        <v>-8704</v>
      </c>
      <c r="J15" s="7">
        <f>EOMONTH(Account_Data[[#This Row],[Date]],0)</f>
        <v>45777</v>
      </c>
      <c r="K15">
        <f>ABS(Account_Data[[#This Row],[Amount]])</f>
        <v>8704</v>
      </c>
    </row>
    <row r="16" spans="1:11" x14ac:dyDescent="0.35">
      <c r="A16" s="73">
        <v>45754</v>
      </c>
      <c r="B16" t="s">
        <v>93</v>
      </c>
      <c r="D16" s="3">
        <v>44060.27</v>
      </c>
      <c r="E16" s="3">
        <v>72249.740000000005</v>
      </c>
      <c r="F16" t="str">
        <f>TEXT(Account_Data[[#This Row],[Date]],"mmm-yyyy")</f>
        <v>Apr-2025</v>
      </c>
      <c r="G16" t="str">
        <f>IF(Account_Data[[#This Row],[Credit]]&gt;0,"Income","Expense")</f>
        <v>Income</v>
      </c>
      <c r="H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Return</v>
      </c>
      <c r="I16" s="3">
        <f>Account_Data[[#This Row],[Credit]]-Account_Data[[#This Row],[Debit]]</f>
        <v>44060.27</v>
      </c>
      <c r="J16" s="7">
        <f>EOMONTH(Account_Data[[#This Row],[Date]],0)</f>
        <v>45777</v>
      </c>
      <c r="K16">
        <f>ABS(Account_Data[[#This Row],[Amount]])</f>
        <v>44060.27</v>
      </c>
    </row>
    <row r="17" spans="1:11" x14ac:dyDescent="0.35">
      <c r="A17" s="73">
        <v>45754</v>
      </c>
      <c r="B17" t="s">
        <v>94</v>
      </c>
      <c r="D17" s="3">
        <v>30864.21</v>
      </c>
      <c r="E17" s="3">
        <v>103113.95</v>
      </c>
      <c r="F17" t="str">
        <f>TEXT(Account_Data[[#This Row],[Date]],"mmm-yyyy")</f>
        <v>Apr-2025</v>
      </c>
      <c r="G17" t="str">
        <f>IF(Account_Data[[#This Row],[Credit]]&gt;0,"Income","Expense")</f>
        <v>Income</v>
      </c>
      <c r="H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Return</v>
      </c>
      <c r="I17" s="3">
        <f>Account_Data[[#This Row],[Credit]]-Account_Data[[#This Row],[Debit]]</f>
        <v>30864.21</v>
      </c>
      <c r="J17" s="7">
        <f>EOMONTH(Account_Data[[#This Row],[Date]],0)</f>
        <v>45777</v>
      </c>
      <c r="K17">
        <f>ABS(Account_Data[[#This Row],[Amount]])</f>
        <v>30864.21</v>
      </c>
    </row>
    <row r="18" spans="1:11" x14ac:dyDescent="0.35">
      <c r="A18" s="73">
        <v>45755</v>
      </c>
      <c r="B18" t="s">
        <v>147</v>
      </c>
      <c r="C18" s="3">
        <v>16329</v>
      </c>
      <c r="E18" s="3">
        <v>86784.95</v>
      </c>
      <c r="F18" t="str">
        <f>TEXT(Account_Data[[#This Row],[Date]],"mmm-yyyy")</f>
        <v>Apr-2025</v>
      </c>
      <c r="G18" t="str">
        <f>IF(Account_Data[[#This Row],[Credit]]&gt;0,"Income","Expense")</f>
        <v>Expense</v>
      </c>
      <c r="H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Loan Payment</v>
      </c>
      <c r="I18" s="3">
        <f>Account_Data[[#This Row],[Credit]]-Account_Data[[#This Row],[Debit]]</f>
        <v>-16329</v>
      </c>
      <c r="J18" s="7">
        <f>EOMONTH(Account_Data[[#This Row],[Date]],0)</f>
        <v>45777</v>
      </c>
      <c r="K18">
        <f>ABS(Account_Data[[#This Row],[Amount]])</f>
        <v>16329</v>
      </c>
    </row>
    <row r="19" spans="1:11" x14ac:dyDescent="0.35">
      <c r="A19" s="73">
        <v>45756</v>
      </c>
      <c r="B19" t="s">
        <v>148</v>
      </c>
      <c r="C19" s="3">
        <v>450</v>
      </c>
      <c r="E19" s="3">
        <v>86334.95</v>
      </c>
      <c r="F19" t="str">
        <f>TEXT(Account_Data[[#This Row],[Date]],"mmm-yyyy")</f>
        <v>Apr-2025</v>
      </c>
      <c r="G19" t="str">
        <f>IF(Account_Data[[#This Row],[Credit]]&gt;0,"Income","Expense")</f>
        <v>Expense</v>
      </c>
      <c r="H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9" s="3">
        <f>Account_Data[[#This Row],[Credit]]-Account_Data[[#This Row],[Debit]]</f>
        <v>-450</v>
      </c>
      <c r="J19" s="7">
        <f>EOMONTH(Account_Data[[#This Row],[Date]],0)</f>
        <v>45777</v>
      </c>
      <c r="K19">
        <f>ABS(Account_Data[[#This Row],[Amount]])</f>
        <v>450</v>
      </c>
    </row>
    <row r="20" spans="1:11" x14ac:dyDescent="0.35">
      <c r="A20" s="73">
        <v>45757</v>
      </c>
      <c r="B20" t="s">
        <v>149</v>
      </c>
      <c r="C20" s="3">
        <v>66500</v>
      </c>
      <c r="E20" s="3">
        <v>19834.95</v>
      </c>
      <c r="F20" t="str">
        <f>TEXT(Account_Data[[#This Row],[Date]],"mmm-yyyy")</f>
        <v>Apr-2025</v>
      </c>
      <c r="G20" t="str">
        <f>IF(Account_Data[[#This Row],[Credit]]&gt;0,"Income","Expense")</f>
        <v>Expense</v>
      </c>
      <c r="H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 s="3">
        <f>Account_Data[[#This Row],[Credit]]-Account_Data[[#This Row],[Debit]]</f>
        <v>-66500</v>
      </c>
      <c r="J20" s="7">
        <f>EOMONTH(Account_Data[[#This Row],[Date]],0)</f>
        <v>45777</v>
      </c>
      <c r="K20">
        <f>ABS(Account_Data[[#This Row],[Amount]])</f>
        <v>66500</v>
      </c>
    </row>
    <row r="21" spans="1:11" x14ac:dyDescent="0.35">
      <c r="A21" s="73">
        <v>45758</v>
      </c>
      <c r="B21" t="s">
        <v>95</v>
      </c>
      <c r="D21" s="3">
        <v>59.52</v>
      </c>
      <c r="E21" s="3">
        <v>19894.47</v>
      </c>
      <c r="F21" t="str">
        <f>TEXT(Account_Data[[#This Row],[Date]],"mmm-yyyy")</f>
        <v>Apr-2025</v>
      </c>
      <c r="G21" t="str">
        <f>IF(Account_Data[[#This Row],[Credit]]&gt;0,"Income","Expense")</f>
        <v>Income</v>
      </c>
      <c r="H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21" s="3">
        <f>Account_Data[[#This Row],[Credit]]-Account_Data[[#This Row],[Debit]]</f>
        <v>59.52</v>
      </c>
      <c r="J21" s="7">
        <f>EOMONTH(Account_Data[[#This Row],[Date]],0)</f>
        <v>45777</v>
      </c>
      <c r="K21">
        <f>ABS(Account_Data[[#This Row],[Amount]])</f>
        <v>59.52</v>
      </c>
    </row>
    <row r="22" spans="1:11" x14ac:dyDescent="0.35">
      <c r="A22" s="73">
        <v>45758</v>
      </c>
      <c r="B22" t="s">
        <v>150</v>
      </c>
      <c r="C22" s="3">
        <v>1219</v>
      </c>
      <c r="E22" s="3">
        <v>18675.47</v>
      </c>
      <c r="F22" t="str">
        <f>TEXT(Account_Data[[#This Row],[Date]],"mmm-yyyy")</f>
        <v>Apr-2025</v>
      </c>
      <c r="G22" t="str">
        <f>IF(Account_Data[[#This Row],[Credit]]&gt;0,"Income","Expense")</f>
        <v>Expense</v>
      </c>
      <c r="H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 s="3">
        <f>Account_Data[[#This Row],[Credit]]-Account_Data[[#This Row],[Debit]]</f>
        <v>-1219</v>
      </c>
      <c r="J22" s="7">
        <f>EOMONTH(Account_Data[[#This Row],[Date]],0)</f>
        <v>45777</v>
      </c>
      <c r="K22">
        <f>ABS(Account_Data[[#This Row],[Amount]])</f>
        <v>1219</v>
      </c>
    </row>
    <row r="23" spans="1:11" x14ac:dyDescent="0.35">
      <c r="A23" s="73">
        <v>45758</v>
      </c>
      <c r="B23" t="s">
        <v>148</v>
      </c>
      <c r="C23" s="3">
        <v>260</v>
      </c>
      <c r="E23" s="3">
        <v>18415.47</v>
      </c>
      <c r="F23" t="str">
        <f>TEXT(Account_Data[[#This Row],[Date]],"mmm-yyyy")</f>
        <v>Apr-2025</v>
      </c>
      <c r="G23" t="str">
        <f>IF(Account_Data[[#This Row],[Credit]]&gt;0,"Income","Expense")</f>
        <v>Expense</v>
      </c>
      <c r="H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 s="3">
        <f>Account_Data[[#This Row],[Credit]]-Account_Data[[#This Row],[Debit]]</f>
        <v>-260</v>
      </c>
      <c r="J23" s="7">
        <f>EOMONTH(Account_Data[[#This Row],[Date]],0)</f>
        <v>45777</v>
      </c>
      <c r="K23">
        <f>ABS(Account_Data[[#This Row],[Amount]])</f>
        <v>260</v>
      </c>
    </row>
    <row r="24" spans="1:11" x14ac:dyDescent="0.35">
      <c r="A24" s="73">
        <v>45758</v>
      </c>
      <c r="B24" t="s">
        <v>151</v>
      </c>
      <c r="C24" s="3">
        <v>350</v>
      </c>
      <c r="E24" s="3">
        <v>18065.47</v>
      </c>
      <c r="F24" t="str">
        <f>TEXT(Account_Data[[#This Row],[Date]],"mmm-yyyy")</f>
        <v>Apr-2025</v>
      </c>
      <c r="G24" t="str">
        <f>IF(Account_Data[[#This Row],[Credit]]&gt;0,"Income","Expense")</f>
        <v>Expense</v>
      </c>
      <c r="H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 s="3">
        <f>Account_Data[[#This Row],[Credit]]-Account_Data[[#This Row],[Debit]]</f>
        <v>-350</v>
      </c>
      <c r="J24" s="7">
        <f>EOMONTH(Account_Data[[#This Row],[Date]],0)</f>
        <v>45777</v>
      </c>
      <c r="K24">
        <f>ABS(Account_Data[[#This Row],[Amount]])</f>
        <v>350</v>
      </c>
    </row>
    <row r="25" spans="1:11" x14ac:dyDescent="0.35">
      <c r="A25" s="73">
        <v>45759</v>
      </c>
      <c r="B25" t="s">
        <v>152</v>
      </c>
      <c r="C25" s="3">
        <v>500</v>
      </c>
      <c r="E25" s="3">
        <v>17565.47</v>
      </c>
      <c r="F25" t="str">
        <f>TEXT(Account_Data[[#This Row],[Date]],"mmm-yyyy")</f>
        <v>Apr-2025</v>
      </c>
      <c r="G25" t="str">
        <f>IF(Account_Data[[#This Row],[Credit]]&gt;0,"Income","Expense")</f>
        <v>Expense</v>
      </c>
      <c r="H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5" s="3">
        <f>Account_Data[[#This Row],[Credit]]-Account_Data[[#This Row],[Debit]]</f>
        <v>-500</v>
      </c>
      <c r="J25" s="7">
        <f>EOMONTH(Account_Data[[#This Row],[Date]],0)</f>
        <v>45777</v>
      </c>
      <c r="K25">
        <f>ABS(Account_Data[[#This Row],[Amount]])</f>
        <v>500</v>
      </c>
    </row>
    <row r="26" spans="1:11" x14ac:dyDescent="0.35">
      <c r="A26" s="73">
        <v>45759</v>
      </c>
      <c r="B26" t="s">
        <v>153</v>
      </c>
      <c r="C26" s="3">
        <v>5</v>
      </c>
      <c r="E26" s="3">
        <v>17560.47</v>
      </c>
      <c r="F26" t="str">
        <f>TEXT(Account_Data[[#This Row],[Date]],"mmm-yyyy")</f>
        <v>Apr-2025</v>
      </c>
      <c r="G26" t="str">
        <f>IF(Account_Data[[#This Row],[Credit]]&gt;0,"Income","Expense")</f>
        <v>Expense</v>
      </c>
      <c r="H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6" s="3">
        <f>Account_Data[[#This Row],[Credit]]-Account_Data[[#This Row],[Debit]]</f>
        <v>-5</v>
      </c>
      <c r="J26" s="7">
        <f>EOMONTH(Account_Data[[#This Row],[Date]],0)</f>
        <v>45777</v>
      </c>
      <c r="K26">
        <f>ABS(Account_Data[[#This Row],[Amount]])</f>
        <v>5</v>
      </c>
    </row>
    <row r="27" spans="1:11" x14ac:dyDescent="0.35">
      <c r="A27" s="73">
        <v>45760</v>
      </c>
      <c r="B27" t="s">
        <v>154</v>
      </c>
      <c r="C27" s="3">
        <v>424</v>
      </c>
      <c r="E27" s="3">
        <v>17136.47</v>
      </c>
      <c r="F27" t="str">
        <f>TEXT(Account_Data[[#This Row],[Date]],"mmm-yyyy")</f>
        <v>Apr-2025</v>
      </c>
      <c r="G27" t="str">
        <f>IF(Account_Data[[#This Row],[Credit]]&gt;0,"Income","Expense")</f>
        <v>Expense</v>
      </c>
      <c r="H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 s="3">
        <f>Account_Data[[#This Row],[Credit]]-Account_Data[[#This Row],[Debit]]</f>
        <v>-424</v>
      </c>
      <c r="J27" s="7">
        <f>EOMONTH(Account_Data[[#This Row],[Date]],0)</f>
        <v>45777</v>
      </c>
      <c r="K27">
        <f>ABS(Account_Data[[#This Row],[Amount]])</f>
        <v>424</v>
      </c>
    </row>
    <row r="28" spans="1:11" x14ac:dyDescent="0.35">
      <c r="A28" s="73">
        <v>45760</v>
      </c>
      <c r="B28" t="s">
        <v>155</v>
      </c>
      <c r="C28" s="3">
        <v>2000</v>
      </c>
      <c r="E28" s="3">
        <v>15136.47</v>
      </c>
      <c r="F28" t="str">
        <f>TEXT(Account_Data[[#This Row],[Date]],"mmm-yyyy")</f>
        <v>Apr-2025</v>
      </c>
      <c r="G28" t="str">
        <f>IF(Account_Data[[#This Row],[Credit]]&gt;0,"Income","Expense")</f>
        <v>Expense</v>
      </c>
      <c r="H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 s="3">
        <f>Account_Data[[#This Row],[Credit]]-Account_Data[[#This Row],[Debit]]</f>
        <v>-2000</v>
      </c>
      <c r="J28" s="7">
        <f>EOMONTH(Account_Data[[#This Row],[Date]],0)</f>
        <v>45777</v>
      </c>
      <c r="K28">
        <f>ABS(Account_Data[[#This Row],[Amount]])</f>
        <v>2000</v>
      </c>
    </row>
    <row r="29" spans="1:11" x14ac:dyDescent="0.35">
      <c r="A29" s="73">
        <v>45760</v>
      </c>
      <c r="B29" t="s">
        <v>156</v>
      </c>
      <c r="C29" s="3">
        <v>400</v>
      </c>
      <c r="E29" s="3">
        <v>14736.47</v>
      </c>
      <c r="F29" t="str">
        <f>TEXT(Account_Data[[#This Row],[Date]],"mmm-yyyy")</f>
        <v>Apr-2025</v>
      </c>
      <c r="G29" t="str">
        <f>IF(Account_Data[[#This Row],[Credit]]&gt;0,"Income","Expense")</f>
        <v>Expense</v>
      </c>
      <c r="H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 s="3">
        <f>Account_Data[[#This Row],[Credit]]-Account_Data[[#This Row],[Debit]]</f>
        <v>-400</v>
      </c>
      <c r="J29" s="7">
        <f>EOMONTH(Account_Data[[#This Row],[Date]],0)</f>
        <v>45777</v>
      </c>
      <c r="K29">
        <f>ABS(Account_Data[[#This Row],[Amount]])</f>
        <v>400</v>
      </c>
    </row>
    <row r="30" spans="1:11" x14ac:dyDescent="0.35">
      <c r="A30" s="73">
        <v>45760</v>
      </c>
      <c r="B30" t="s">
        <v>156</v>
      </c>
      <c r="C30" s="3">
        <v>252</v>
      </c>
      <c r="E30" s="3">
        <v>14484.47</v>
      </c>
      <c r="F30" t="str">
        <f>TEXT(Account_Data[[#This Row],[Date]],"mmm-yyyy")</f>
        <v>Apr-2025</v>
      </c>
      <c r="G30" t="str">
        <f>IF(Account_Data[[#This Row],[Credit]]&gt;0,"Income","Expense")</f>
        <v>Expense</v>
      </c>
      <c r="H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 s="3">
        <f>Account_Data[[#This Row],[Credit]]-Account_Data[[#This Row],[Debit]]</f>
        <v>-252</v>
      </c>
      <c r="J30" s="7">
        <f>EOMONTH(Account_Data[[#This Row],[Date]],0)</f>
        <v>45777</v>
      </c>
      <c r="K30">
        <f>ABS(Account_Data[[#This Row],[Amount]])</f>
        <v>252</v>
      </c>
    </row>
    <row r="31" spans="1:11" x14ac:dyDescent="0.35">
      <c r="A31" s="73">
        <v>45761</v>
      </c>
      <c r="B31" t="s">
        <v>157</v>
      </c>
      <c r="C31" s="3">
        <v>7000</v>
      </c>
      <c r="E31" s="3">
        <v>7484.47</v>
      </c>
      <c r="F31" t="str">
        <f>TEXT(Account_Data[[#This Row],[Date]],"mmm-yyyy")</f>
        <v>Apr-2025</v>
      </c>
      <c r="G31" t="str">
        <f>IF(Account_Data[[#This Row],[Credit]]&gt;0,"Income","Expense")</f>
        <v>Expense</v>
      </c>
      <c r="H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31" s="3">
        <f>Account_Data[[#This Row],[Credit]]-Account_Data[[#This Row],[Debit]]</f>
        <v>-7000</v>
      </c>
      <c r="J31" s="7">
        <f>EOMONTH(Account_Data[[#This Row],[Date]],0)</f>
        <v>45777</v>
      </c>
      <c r="K31">
        <f>ABS(Account_Data[[#This Row],[Amount]])</f>
        <v>7000</v>
      </c>
    </row>
    <row r="32" spans="1:11" x14ac:dyDescent="0.35">
      <c r="A32" s="73">
        <v>45761</v>
      </c>
      <c r="B32" t="s">
        <v>158</v>
      </c>
      <c r="C32" s="3">
        <v>851</v>
      </c>
      <c r="E32" s="3">
        <v>6633.47</v>
      </c>
      <c r="F32" t="str">
        <f>TEXT(Account_Data[[#This Row],[Date]],"mmm-yyyy")</f>
        <v>Apr-2025</v>
      </c>
      <c r="G32" t="str">
        <f>IF(Account_Data[[#This Row],[Credit]]&gt;0,"Income","Expense")</f>
        <v>Expense</v>
      </c>
      <c r="H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 s="3">
        <f>Account_Data[[#This Row],[Credit]]-Account_Data[[#This Row],[Debit]]</f>
        <v>-851</v>
      </c>
      <c r="J32" s="7">
        <f>EOMONTH(Account_Data[[#This Row],[Date]],0)</f>
        <v>45777</v>
      </c>
      <c r="K32">
        <f>ABS(Account_Data[[#This Row],[Amount]])</f>
        <v>851</v>
      </c>
    </row>
    <row r="33" spans="1:11" x14ac:dyDescent="0.35">
      <c r="A33" s="73">
        <v>45761</v>
      </c>
      <c r="B33" t="s">
        <v>159</v>
      </c>
      <c r="C33" s="3">
        <v>1000</v>
      </c>
      <c r="E33" s="3">
        <v>5633.47</v>
      </c>
      <c r="F33" t="str">
        <f>TEXT(Account_Data[[#This Row],[Date]],"mmm-yyyy")</f>
        <v>Apr-2025</v>
      </c>
      <c r="G33" t="str">
        <f>IF(Account_Data[[#This Row],[Credit]]&gt;0,"Income","Expense")</f>
        <v>Expense</v>
      </c>
      <c r="H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3" s="3">
        <f>Account_Data[[#This Row],[Credit]]-Account_Data[[#This Row],[Debit]]</f>
        <v>-1000</v>
      </c>
      <c r="J33" s="7">
        <f>EOMONTH(Account_Data[[#This Row],[Date]],0)</f>
        <v>45777</v>
      </c>
      <c r="K33">
        <f>ABS(Account_Data[[#This Row],[Amount]])</f>
        <v>1000</v>
      </c>
    </row>
    <row r="34" spans="1:11" x14ac:dyDescent="0.35">
      <c r="A34" s="73">
        <v>45761</v>
      </c>
      <c r="B34" t="s">
        <v>160</v>
      </c>
      <c r="C34" s="3">
        <v>330</v>
      </c>
      <c r="E34" s="3">
        <v>5303.47</v>
      </c>
      <c r="F34" t="str">
        <f>TEXT(Account_Data[[#This Row],[Date]],"mmm-yyyy")</f>
        <v>Apr-2025</v>
      </c>
      <c r="G34" t="str">
        <f>IF(Account_Data[[#This Row],[Credit]]&gt;0,"Income","Expense")</f>
        <v>Expense</v>
      </c>
      <c r="H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4" s="3">
        <f>Account_Data[[#This Row],[Credit]]-Account_Data[[#This Row],[Debit]]</f>
        <v>-330</v>
      </c>
      <c r="J34" s="7">
        <f>EOMONTH(Account_Data[[#This Row],[Date]],0)</f>
        <v>45777</v>
      </c>
      <c r="K34">
        <f>ABS(Account_Data[[#This Row],[Amount]])</f>
        <v>330</v>
      </c>
    </row>
    <row r="35" spans="1:11" x14ac:dyDescent="0.35">
      <c r="A35" s="73">
        <v>45761</v>
      </c>
      <c r="B35" t="s">
        <v>161</v>
      </c>
      <c r="C35" s="3">
        <v>320</v>
      </c>
      <c r="E35" s="3">
        <v>4983.47</v>
      </c>
      <c r="F35" t="str">
        <f>TEXT(Account_Data[[#This Row],[Date]],"mmm-yyyy")</f>
        <v>Apr-2025</v>
      </c>
      <c r="G35" t="str">
        <f>IF(Account_Data[[#This Row],[Credit]]&gt;0,"Income","Expense")</f>
        <v>Expense</v>
      </c>
      <c r="H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 s="3">
        <f>Account_Data[[#This Row],[Credit]]-Account_Data[[#This Row],[Debit]]</f>
        <v>-320</v>
      </c>
      <c r="J35" s="7">
        <f>EOMONTH(Account_Data[[#This Row],[Date]],0)</f>
        <v>45777</v>
      </c>
      <c r="K35">
        <f>ABS(Account_Data[[#This Row],[Amount]])</f>
        <v>320</v>
      </c>
    </row>
    <row r="36" spans="1:11" x14ac:dyDescent="0.35">
      <c r="A36" s="73">
        <v>45762</v>
      </c>
      <c r="B36" t="s">
        <v>162</v>
      </c>
      <c r="C36" s="3">
        <v>1100</v>
      </c>
      <c r="E36" s="3">
        <v>3883.47</v>
      </c>
      <c r="F36" t="str">
        <f>TEXT(Account_Data[[#This Row],[Date]],"mmm-yyyy")</f>
        <v>Apr-2025</v>
      </c>
      <c r="G36" t="str">
        <f>IF(Account_Data[[#This Row],[Credit]]&gt;0,"Income","Expense")</f>
        <v>Expense</v>
      </c>
      <c r="H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 s="3">
        <f>Account_Data[[#This Row],[Credit]]-Account_Data[[#This Row],[Debit]]</f>
        <v>-1100</v>
      </c>
      <c r="J36" s="7">
        <f>EOMONTH(Account_Data[[#This Row],[Date]],0)</f>
        <v>45777</v>
      </c>
      <c r="K36">
        <f>ABS(Account_Data[[#This Row],[Amount]])</f>
        <v>1100</v>
      </c>
    </row>
    <row r="37" spans="1:11" x14ac:dyDescent="0.35">
      <c r="A37" s="73">
        <v>45763</v>
      </c>
      <c r="B37" t="s">
        <v>163</v>
      </c>
      <c r="C37" s="3">
        <v>480</v>
      </c>
      <c r="E37" s="3">
        <v>3403.47</v>
      </c>
      <c r="F37" t="str">
        <f>TEXT(Account_Data[[#This Row],[Date]],"mmm-yyyy")</f>
        <v>Apr-2025</v>
      </c>
      <c r="G37" t="str">
        <f>IF(Account_Data[[#This Row],[Credit]]&gt;0,"Income","Expense")</f>
        <v>Expense</v>
      </c>
      <c r="H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 s="3">
        <f>Account_Data[[#This Row],[Credit]]-Account_Data[[#This Row],[Debit]]</f>
        <v>-480</v>
      </c>
      <c r="J37" s="7">
        <f>EOMONTH(Account_Data[[#This Row],[Date]],0)</f>
        <v>45777</v>
      </c>
      <c r="K37">
        <f>ABS(Account_Data[[#This Row],[Amount]])</f>
        <v>480</v>
      </c>
    </row>
    <row r="38" spans="1:11" x14ac:dyDescent="0.35">
      <c r="A38" s="73">
        <v>45764</v>
      </c>
      <c r="B38" t="s">
        <v>96</v>
      </c>
      <c r="D38" s="3">
        <v>480</v>
      </c>
      <c r="E38" s="3">
        <v>3883.47</v>
      </c>
      <c r="F38" t="str">
        <f>TEXT(Account_Data[[#This Row],[Date]],"mmm-yyyy")</f>
        <v>Apr-2025</v>
      </c>
      <c r="G38" t="str">
        <f>IF(Account_Data[[#This Row],[Credit]]&gt;0,"Income","Expense")</f>
        <v>Income</v>
      </c>
      <c r="H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 s="3">
        <f>Account_Data[[#This Row],[Credit]]-Account_Data[[#This Row],[Debit]]</f>
        <v>480</v>
      </c>
      <c r="J38" s="7">
        <f>EOMONTH(Account_Data[[#This Row],[Date]],0)</f>
        <v>45777</v>
      </c>
      <c r="K38">
        <f>ABS(Account_Data[[#This Row],[Amount]])</f>
        <v>480</v>
      </c>
    </row>
    <row r="39" spans="1:11" x14ac:dyDescent="0.35">
      <c r="A39" s="73">
        <v>45764</v>
      </c>
      <c r="B39" t="s">
        <v>164</v>
      </c>
      <c r="C39" s="3">
        <v>857</v>
      </c>
      <c r="E39" s="3">
        <v>3026.47</v>
      </c>
      <c r="F39" t="str">
        <f>TEXT(Account_Data[[#This Row],[Date]],"mmm-yyyy")</f>
        <v>Apr-2025</v>
      </c>
      <c r="G39" t="str">
        <f>IF(Account_Data[[#This Row],[Credit]]&gt;0,"Income","Expense")</f>
        <v>Expense</v>
      </c>
      <c r="H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9" s="3">
        <f>Account_Data[[#This Row],[Credit]]-Account_Data[[#This Row],[Debit]]</f>
        <v>-857</v>
      </c>
      <c r="J39" s="7">
        <f>EOMONTH(Account_Data[[#This Row],[Date]],0)</f>
        <v>45777</v>
      </c>
      <c r="K39">
        <f>ABS(Account_Data[[#This Row],[Amount]])</f>
        <v>857</v>
      </c>
    </row>
    <row r="40" spans="1:11" x14ac:dyDescent="0.35">
      <c r="A40" s="73">
        <v>45764</v>
      </c>
      <c r="B40" t="s">
        <v>165</v>
      </c>
      <c r="C40" s="3">
        <v>124</v>
      </c>
      <c r="E40" s="3">
        <v>2902.47</v>
      </c>
      <c r="F40" t="str">
        <f>TEXT(Account_Data[[#This Row],[Date]],"mmm-yyyy")</f>
        <v>Apr-2025</v>
      </c>
      <c r="G40" t="str">
        <f>IF(Account_Data[[#This Row],[Credit]]&gt;0,"Income","Expense")</f>
        <v>Expense</v>
      </c>
      <c r="H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 s="3">
        <f>Account_Data[[#This Row],[Credit]]-Account_Data[[#This Row],[Debit]]</f>
        <v>-124</v>
      </c>
      <c r="J40" s="7">
        <f>EOMONTH(Account_Data[[#This Row],[Date]],0)</f>
        <v>45777</v>
      </c>
      <c r="K40">
        <f>ABS(Account_Data[[#This Row],[Amount]])</f>
        <v>124</v>
      </c>
    </row>
    <row r="41" spans="1:11" x14ac:dyDescent="0.35">
      <c r="A41" s="73">
        <v>45765</v>
      </c>
      <c r="B41" t="s">
        <v>166</v>
      </c>
      <c r="C41" s="3">
        <v>229.44</v>
      </c>
      <c r="E41" s="3">
        <v>2673.03</v>
      </c>
      <c r="F41" t="str">
        <f>TEXT(Account_Data[[#This Row],[Date]],"mmm-yyyy")</f>
        <v>Apr-2025</v>
      </c>
      <c r="G41" t="str">
        <f>IF(Account_Data[[#This Row],[Credit]]&gt;0,"Income","Expense")</f>
        <v>Expense</v>
      </c>
      <c r="H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1" s="3">
        <f>Account_Data[[#This Row],[Credit]]-Account_Data[[#This Row],[Debit]]</f>
        <v>-229.44</v>
      </c>
      <c r="J41" s="7">
        <f>EOMONTH(Account_Data[[#This Row],[Date]],0)</f>
        <v>45777</v>
      </c>
      <c r="K41">
        <f>ABS(Account_Data[[#This Row],[Amount]])</f>
        <v>229.44</v>
      </c>
    </row>
    <row r="42" spans="1:11" x14ac:dyDescent="0.35">
      <c r="A42" s="73">
        <v>45767</v>
      </c>
      <c r="B42" t="s">
        <v>167</v>
      </c>
      <c r="C42" s="3">
        <v>400</v>
      </c>
      <c r="E42" s="3">
        <v>2273.0300000000002</v>
      </c>
      <c r="F42" t="str">
        <f>TEXT(Account_Data[[#This Row],[Date]],"mmm-yyyy")</f>
        <v>Apr-2025</v>
      </c>
      <c r="G42" t="str">
        <f>IF(Account_Data[[#This Row],[Credit]]&gt;0,"Income","Expense")</f>
        <v>Expense</v>
      </c>
      <c r="H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2" s="3">
        <f>Account_Data[[#This Row],[Credit]]-Account_Data[[#This Row],[Debit]]</f>
        <v>-400</v>
      </c>
      <c r="J42" s="7">
        <f>EOMONTH(Account_Data[[#This Row],[Date]],0)</f>
        <v>45777</v>
      </c>
      <c r="K42">
        <f>ABS(Account_Data[[#This Row],[Amount]])</f>
        <v>400</v>
      </c>
    </row>
    <row r="43" spans="1:11" x14ac:dyDescent="0.35">
      <c r="A43" s="73">
        <v>45767</v>
      </c>
      <c r="B43" t="s">
        <v>168</v>
      </c>
      <c r="C43" s="3">
        <v>450</v>
      </c>
      <c r="E43" s="3">
        <v>1823.03</v>
      </c>
      <c r="F43" t="str">
        <f>TEXT(Account_Data[[#This Row],[Date]],"mmm-yyyy")</f>
        <v>Apr-2025</v>
      </c>
      <c r="G43" t="str">
        <f>IF(Account_Data[[#This Row],[Credit]]&gt;0,"Income","Expense")</f>
        <v>Expense</v>
      </c>
      <c r="H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 s="3">
        <f>Account_Data[[#This Row],[Credit]]-Account_Data[[#This Row],[Debit]]</f>
        <v>-450</v>
      </c>
      <c r="J43" s="7">
        <f>EOMONTH(Account_Data[[#This Row],[Date]],0)</f>
        <v>45777</v>
      </c>
      <c r="K43">
        <f>ABS(Account_Data[[#This Row],[Amount]])</f>
        <v>450</v>
      </c>
    </row>
    <row r="44" spans="1:11" x14ac:dyDescent="0.35">
      <c r="A44" s="73">
        <v>45767</v>
      </c>
      <c r="B44" t="s">
        <v>168</v>
      </c>
      <c r="C44" s="3">
        <v>415</v>
      </c>
      <c r="E44" s="3">
        <v>1408.03</v>
      </c>
      <c r="F44" t="str">
        <f>TEXT(Account_Data[[#This Row],[Date]],"mmm-yyyy")</f>
        <v>Apr-2025</v>
      </c>
      <c r="G44" t="str">
        <f>IF(Account_Data[[#This Row],[Credit]]&gt;0,"Income","Expense")</f>
        <v>Expense</v>
      </c>
      <c r="H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 s="3">
        <f>Account_Data[[#This Row],[Credit]]-Account_Data[[#This Row],[Debit]]</f>
        <v>-415</v>
      </c>
      <c r="J44" s="7">
        <f>EOMONTH(Account_Data[[#This Row],[Date]],0)</f>
        <v>45777</v>
      </c>
      <c r="K44">
        <f>ABS(Account_Data[[#This Row],[Amount]])</f>
        <v>415</v>
      </c>
    </row>
    <row r="45" spans="1:11" x14ac:dyDescent="0.35">
      <c r="A45" s="73">
        <v>45770</v>
      </c>
      <c r="B45" t="s">
        <v>169</v>
      </c>
      <c r="C45" s="3">
        <v>1000</v>
      </c>
      <c r="E45" s="3">
        <v>408.03</v>
      </c>
      <c r="F45" t="str">
        <f>TEXT(Account_Data[[#This Row],[Date]],"mmm-yyyy")</f>
        <v>Apr-2025</v>
      </c>
      <c r="G45" t="str">
        <f>IF(Account_Data[[#This Row],[Credit]]&gt;0,"Income","Expense")</f>
        <v>Expense</v>
      </c>
      <c r="H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45" s="3">
        <f>Account_Data[[#This Row],[Credit]]-Account_Data[[#This Row],[Debit]]</f>
        <v>-1000</v>
      </c>
      <c r="J45" s="7">
        <f>EOMONTH(Account_Data[[#This Row],[Date]],0)</f>
        <v>45777</v>
      </c>
      <c r="K45">
        <f>ABS(Account_Data[[#This Row],[Amount]])</f>
        <v>1000</v>
      </c>
    </row>
    <row r="46" spans="1:11" x14ac:dyDescent="0.35">
      <c r="A46" s="73">
        <v>45770</v>
      </c>
      <c r="B46" t="s">
        <v>170</v>
      </c>
      <c r="C46" s="3">
        <v>280</v>
      </c>
      <c r="E46" s="3">
        <v>128.03</v>
      </c>
      <c r="F46" t="str">
        <f>TEXT(Account_Data[[#This Row],[Date]],"mmm-yyyy")</f>
        <v>Apr-2025</v>
      </c>
      <c r="G46" t="str">
        <f>IF(Account_Data[[#This Row],[Credit]]&gt;0,"Income","Expense")</f>
        <v>Expense</v>
      </c>
      <c r="H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 s="3">
        <f>Account_Data[[#This Row],[Credit]]-Account_Data[[#This Row],[Debit]]</f>
        <v>-280</v>
      </c>
      <c r="J46" s="7">
        <f>EOMONTH(Account_Data[[#This Row],[Date]],0)</f>
        <v>45777</v>
      </c>
      <c r="K46">
        <f>ABS(Account_Data[[#This Row],[Amount]])</f>
        <v>280</v>
      </c>
    </row>
    <row r="47" spans="1:11" x14ac:dyDescent="0.35">
      <c r="A47" s="73">
        <v>45775</v>
      </c>
      <c r="B47" t="s">
        <v>97</v>
      </c>
      <c r="D47" s="3">
        <v>12800</v>
      </c>
      <c r="E47" s="3">
        <v>12928.03</v>
      </c>
      <c r="F47" t="str">
        <f>TEXT(Account_Data[[#This Row],[Date]],"mmm-yyyy")</f>
        <v>Apr-2025</v>
      </c>
      <c r="G47" t="str">
        <f>IF(Account_Data[[#This Row],[Credit]]&gt;0,"Income","Expense")</f>
        <v>Income</v>
      </c>
      <c r="H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7" s="3">
        <f>Account_Data[[#This Row],[Credit]]-Account_Data[[#This Row],[Debit]]</f>
        <v>12800</v>
      </c>
      <c r="J47" s="7">
        <f>EOMONTH(Account_Data[[#This Row],[Date]],0)</f>
        <v>45777</v>
      </c>
      <c r="K47">
        <f>ABS(Account_Data[[#This Row],[Amount]])</f>
        <v>12800</v>
      </c>
    </row>
    <row r="48" spans="1:11" x14ac:dyDescent="0.35">
      <c r="A48" s="73">
        <v>45775</v>
      </c>
      <c r="B48" t="s">
        <v>98</v>
      </c>
      <c r="D48" s="3">
        <v>44000</v>
      </c>
      <c r="E48" s="3">
        <v>56928.03</v>
      </c>
      <c r="F48" t="str">
        <f>TEXT(Account_Data[[#This Row],[Date]],"mmm-yyyy")</f>
        <v>Apr-2025</v>
      </c>
      <c r="G48" t="str">
        <f>IF(Account_Data[[#This Row],[Credit]]&gt;0,"Income","Expense")</f>
        <v>Income</v>
      </c>
      <c r="H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8" s="3">
        <f>Account_Data[[#This Row],[Credit]]-Account_Data[[#This Row],[Debit]]</f>
        <v>44000</v>
      </c>
      <c r="J48" s="7">
        <f>EOMONTH(Account_Data[[#This Row],[Date]],0)</f>
        <v>45777</v>
      </c>
      <c r="K48">
        <f>ABS(Account_Data[[#This Row],[Amount]])</f>
        <v>44000</v>
      </c>
    </row>
    <row r="49" spans="1:11" x14ac:dyDescent="0.35">
      <c r="A49" s="73">
        <v>45775</v>
      </c>
      <c r="B49" t="s">
        <v>99</v>
      </c>
      <c r="C49" s="3">
        <v>1000</v>
      </c>
      <c r="E49" s="3">
        <v>55928.03</v>
      </c>
      <c r="F49" t="str">
        <f>TEXT(Account_Data[[#This Row],[Date]],"mmm-yyyy")</f>
        <v>Apr-2025</v>
      </c>
      <c r="G49" t="str">
        <f>IF(Account_Data[[#This Row],[Credit]]&gt;0,"Income","Expense")</f>
        <v>Expense</v>
      </c>
      <c r="H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9" s="3">
        <f>Account_Data[[#This Row],[Credit]]-Account_Data[[#This Row],[Debit]]</f>
        <v>-1000</v>
      </c>
      <c r="J49" s="7">
        <f>EOMONTH(Account_Data[[#This Row],[Date]],0)</f>
        <v>45777</v>
      </c>
      <c r="K49">
        <f>ABS(Account_Data[[#This Row],[Amount]])</f>
        <v>1000</v>
      </c>
    </row>
    <row r="50" spans="1:11" x14ac:dyDescent="0.35">
      <c r="A50" s="73">
        <v>45775</v>
      </c>
      <c r="B50" t="s">
        <v>486</v>
      </c>
      <c r="D50" s="3">
        <v>122872</v>
      </c>
      <c r="E50" s="3">
        <v>178800.03</v>
      </c>
      <c r="F50" t="str">
        <f>TEXT(Account_Data[[#This Row],[Date]],"mmm-yyyy")</f>
        <v>Apr-2025</v>
      </c>
      <c r="G50" t="str">
        <f>IF(Account_Data[[#This Row],[Credit]]&gt;0,"Income","Expense")</f>
        <v>Income</v>
      </c>
      <c r="H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50" s="3">
        <f>Account_Data[[#This Row],[Credit]]-Account_Data[[#This Row],[Debit]]</f>
        <v>122872</v>
      </c>
      <c r="J50" s="7">
        <f>EOMONTH(Account_Data[[#This Row],[Date]],0)</f>
        <v>45777</v>
      </c>
      <c r="K50">
        <f>ABS(Account_Data[[#This Row],[Amount]])</f>
        <v>122872</v>
      </c>
    </row>
    <row r="51" spans="1:11" x14ac:dyDescent="0.35">
      <c r="A51" s="73">
        <v>45776</v>
      </c>
      <c r="B51" t="s">
        <v>171</v>
      </c>
      <c r="C51" s="3">
        <v>500</v>
      </c>
      <c r="E51" s="3">
        <v>178300.03</v>
      </c>
      <c r="F51" t="str">
        <f>TEXT(Account_Data[[#This Row],[Date]],"mmm-yyyy")</f>
        <v>Apr-2025</v>
      </c>
      <c r="G51" t="str">
        <f>IF(Account_Data[[#This Row],[Credit]]&gt;0,"Income","Expense")</f>
        <v>Expense</v>
      </c>
      <c r="H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 s="3">
        <f>Account_Data[[#This Row],[Credit]]-Account_Data[[#This Row],[Debit]]</f>
        <v>-500</v>
      </c>
      <c r="J51" s="7">
        <f>EOMONTH(Account_Data[[#This Row],[Date]],0)</f>
        <v>45777</v>
      </c>
      <c r="K51">
        <f>ABS(Account_Data[[#This Row],[Amount]])</f>
        <v>500</v>
      </c>
    </row>
    <row r="52" spans="1:11" x14ac:dyDescent="0.35">
      <c r="A52" s="73">
        <v>45776</v>
      </c>
      <c r="B52" t="s">
        <v>172</v>
      </c>
      <c r="C52" s="3">
        <v>699</v>
      </c>
      <c r="E52" s="3">
        <v>177601.03</v>
      </c>
      <c r="F52" t="str">
        <f>TEXT(Account_Data[[#This Row],[Date]],"mmm-yyyy")</f>
        <v>Apr-2025</v>
      </c>
      <c r="G52" t="str">
        <f>IF(Account_Data[[#This Row],[Credit]]&gt;0,"Income","Expense")</f>
        <v>Expense</v>
      </c>
      <c r="H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 s="3">
        <f>Account_Data[[#This Row],[Credit]]-Account_Data[[#This Row],[Debit]]</f>
        <v>-699</v>
      </c>
      <c r="J52" s="7">
        <f>EOMONTH(Account_Data[[#This Row],[Date]],0)</f>
        <v>45777</v>
      </c>
      <c r="K52">
        <f>ABS(Account_Data[[#This Row],[Amount]])</f>
        <v>699</v>
      </c>
    </row>
    <row r="53" spans="1:11" x14ac:dyDescent="0.35">
      <c r="A53" s="73">
        <v>45776</v>
      </c>
      <c r="B53" t="s">
        <v>173</v>
      </c>
      <c r="C53" s="3">
        <v>375</v>
      </c>
      <c r="E53" s="3">
        <v>177226.03</v>
      </c>
      <c r="F53" t="str">
        <f>TEXT(Account_Data[[#This Row],[Date]],"mmm-yyyy")</f>
        <v>Apr-2025</v>
      </c>
      <c r="G53" t="str">
        <f>IF(Account_Data[[#This Row],[Credit]]&gt;0,"Income","Expense")</f>
        <v>Expense</v>
      </c>
      <c r="H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3" s="3">
        <f>Account_Data[[#This Row],[Credit]]-Account_Data[[#This Row],[Debit]]</f>
        <v>-375</v>
      </c>
      <c r="J53" s="7">
        <f>EOMONTH(Account_Data[[#This Row],[Date]],0)</f>
        <v>45777</v>
      </c>
      <c r="K53">
        <f>ABS(Account_Data[[#This Row],[Amount]])</f>
        <v>375</v>
      </c>
    </row>
    <row r="54" spans="1:11" x14ac:dyDescent="0.35">
      <c r="A54" s="73">
        <v>45776</v>
      </c>
      <c r="B54" t="s">
        <v>174</v>
      </c>
      <c r="C54" s="3">
        <v>400</v>
      </c>
      <c r="E54" s="3">
        <v>176826.03</v>
      </c>
      <c r="F54" t="str">
        <f>TEXT(Account_Data[[#This Row],[Date]],"mmm-yyyy")</f>
        <v>Apr-2025</v>
      </c>
      <c r="G54" t="str">
        <f>IF(Account_Data[[#This Row],[Credit]]&gt;0,"Income","Expense")</f>
        <v>Expense</v>
      </c>
      <c r="H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 s="3">
        <f>Account_Data[[#This Row],[Credit]]-Account_Data[[#This Row],[Debit]]</f>
        <v>-400</v>
      </c>
      <c r="J54" s="7">
        <f>EOMONTH(Account_Data[[#This Row],[Date]],0)</f>
        <v>45777</v>
      </c>
      <c r="K54">
        <f>ABS(Account_Data[[#This Row],[Amount]])</f>
        <v>400</v>
      </c>
    </row>
    <row r="55" spans="1:11" x14ac:dyDescent="0.35">
      <c r="A55" s="73">
        <v>45776</v>
      </c>
      <c r="B55" t="s">
        <v>175</v>
      </c>
      <c r="C55" s="3">
        <v>2569</v>
      </c>
      <c r="E55" s="3">
        <v>174257.03</v>
      </c>
      <c r="F55" t="str">
        <f>TEXT(Account_Data[[#This Row],[Date]],"mmm-yyyy")</f>
        <v>Apr-2025</v>
      </c>
      <c r="G55" t="str">
        <f>IF(Account_Data[[#This Row],[Credit]]&gt;0,"Income","Expense")</f>
        <v>Expense</v>
      </c>
      <c r="H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 s="3">
        <f>Account_Data[[#This Row],[Credit]]-Account_Data[[#This Row],[Debit]]</f>
        <v>-2569</v>
      </c>
      <c r="J55" s="7">
        <f>EOMONTH(Account_Data[[#This Row],[Date]],0)</f>
        <v>45777</v>
      </c>
      <c r="K55">
        <f>ABS(Account_Data[[#This Row],[Amount]])</f>
        <v>2569</v>
      </c>
    </row>
    <row r="56" spans="1:11" x14ac:dyDescent="0.35">
      <c r="A56" s="73">
        <v>45776</v>
      </c>
      <c r="B56" t="s">
        <v>176</v>
      </c>
      <c r="C56" s="3">
        <v>849</v>
      </c>
      <c r="E56" s="3">
        <v>173408.03</v>
      </c>
      <c r="F56" t="str">
        <f>TEXT(Account_Data[[#This Row],[Date]],"mmm-yyyy")</f>
        <v>Apr-2025</v>
      </c>
      <c r="G56" t="str">
        <f>IF(Account_Data[[#This Row],[Credit]]&gt;0,"Income","Expense")</f>
        <v>Expense</v>
      </c>
      <c r="H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 s="3">
        <f>Account_Data[[#This Row],[Credit]]-Account_Data[[#This Row],[Debit]]</f>
        <v>-849</v>
      </c>
      <c r="J56" s="7">
        <f>EOMONTH(Account_Data[[#This Row],[Date]],0)</f>
        <v>45777</v>
      </c>
      <c r="K56">
        <f>ABS(Account_Data[[#This Row],[Amount]])</f>
        <v>849</v>
      </c>
    </row>
    <row r="57" spans="1:11" x14ac:dyDescent="0.35">
      <c r="A57" s="73">
        <v>45776</v>
      </c>
      <c r="B57" t="s">
        <v>177</v>
      </c>
      <c r="C57" s="3">
        <v>12000</v>
      </c>
      <c r="E57" s="3">
        <v>161408.03</v>
      </c>
      <c r="F57" t="str">
        <f>TEXT(Account_Data[[#This Row],[Date]],"mmm-yyyy")</f>
        <v>Apr-2025</v>
      </c>
      <c r="G57" t="str">
        <f>IF(Account_Data[[#This Row],[Credit]]&gt;0,"Income","Expense")</f>
        <v>Expense</v>
      </c>
      <c r="H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 s="3">
        <f>Account_Data[[#This Row],[Credit]]-Account_Data[[#This Row],[Debit]]</f>
        <v>-12000</v>
      </c>
      <c r="J57" s="7">
        <f>EOMONTH(Account_Data[[#This Row],[Date]],0)</f>
        <v>45777</v>
      </c>
      <c r="K57">
        <f>ABS(Account_Data[[#This Row],[Amount]])</f>
        <v>12000</v>
      </c>
    </row>
    <row r="58" spans="1:11" x14ac:dyDescent="0.35">
      <c r="A58" s="73">
        <v>45776</v>
      </c>
      <c r="B58" t="s">
        <v>178</v>
      </c>
      <c r="C58" s="3">
        <v>17889</v>
      </c>
      <c r="E58" s="3">
        <v>143519.03</v>
      </c>
      <c r="F58" t="str">
        <f>TEXT(Account_Data[[#This Row],[Date]],"mmm-yyyy")</f>
        <v>Apr-2025</v>
      </c>
      <c r="G58" t="str">
        <f>IF(Account_Data[[#This Row],[Credit]]&gt;0,"Income","Expense")</f>
        <v>Expense</v>
      </c>
      <c r="H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Loan Payment</v>
      </c>
      <c r="I58" s="3">
        <f>Account_Data[[#This Row],[Credit]]-Account_Data[[#This Row],[Debit]]</f>
        <v>-17889</v>
      </c>
      <c r="J58" s="7">
        <f>EOMONTH(Account_Data[[#This Row],[Date]],0)</f>
        <v>45777</v>
      </c>
      <c r="K58">
        <f>ABS(Account_Data[[#This Row],[Amount]])</f>
        <v>17889</v>
      </c>
    </row>
    <row r="59" spans="1:11" x14ac:dyDescent="0.35">
      <c r="A59" s="73">
        <v>45777</v>
      </c>
      <c r="B59" t="s">
        <v>179</v>
      </c>
      <c r="C59" s="3">
        <v>200</v>
      </c>
      <c r="E59" s="3">
        <v>143319.03</v>
      </c>
      <c r="F59" t="str">
        <f>TEXT(Account_Data[[#This Row],[Date]],"mmm-yyyy")</f>
        <v>Apr-2025</v>
      </c>
      <c r="G59" t="str">
        <f>IF(Account_Data[[#This Row],[Credit]]&gt;0,"Income","Expense")</f>
        <v>Expense</v>
      </c>
      <c r="H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9" s="3">
        <f>Account_Data[[#This Row],[Credit]]-Account_Data[[#This Row],[Debit]]</f>
        <v>-200</v>
      </c>
      <c r="J59" s="7">
        <f>EOMONTH(Account_Data[[#This Row],[Date]],0)</f>
        <v>45777</v>
      </c>
      <c r="K59">
        <f>ABS(Account_Data[[#This Row],[Amount]])</f>
        <v>200</v>
      </c>
    </row>
    <row r="60" spans="1:11" x14ac:dyDescent="0.35">
      <c r="A60" s="73">
        <v>45778</v>
      </c>
      <c r="B60" t="s">
        <v>180</v>
      </c>
      <c r="C60" s="3">
        <v>20000</v>
      </c>
      <c r="E60" s="3">
        <v>123319.03</v>
      </c>
      <c r="F60" t="str">
        <f>TEXT(Account_Data[[#This Row],[Date]],"mmm-yyyy")</f>
        <v>May-2025</v>
      </c>
      <c r="G60" t="str">
        <f>IF(Account_Data[[#This Row],[Credit]]&gt;0,"Income","Expense")</f>
        <v>Expense</v>
      </c>
      <c r="H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0" s="3">
        <f>Account_Data[[#This Row],[Credit]]-Account_Data[[#This Row],[Debit]]</f>
        <v>-20000</v>
      </c>
      <c r="J60" s="7">
        <f>EOMONTH(Account_Data[[#This Row],[Date]],0)</f>
        <v>45808</v>
      </c>
      <c r="K60">
        <f>ABS(Account_Data[[#This Row],[Amount]])</f>
        <v>20000</v>
      </c>
    </row>
    <row r="61" spans="1:11" x14ac:dyDescent="0.35">
      <c r="A61" s="73">
        <v>45778</v>
      </c>
      <c r="B61" t="s">
        <v>181</v>
      </c>
      <c r="D61" s="3">
        <v>20000</v>
      </c>
      <c r="E61" s="3">
        <v>143319.03</v>
      </c>
      <c r="F61" t="str">
        <f>TEXT(Account_Data[[#This Row],[Date]],"mmm-yyyy")</f>
        <v>May-2025</v>
      </c>
      <c r="G61" t="str">
        <f>IF(Account_Data[[#This Row],[Credit]]&gt;0,"Income","Expense")</f>
        <v>Income</v>
      </c>
      <c r="H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1" s="3">
        <f>Account_Data[[#This Row],[Credit]]-Account_Data[[#This Row],[Debit]]</f>
        <v>20000</v>
      </c>
      <c r="J61" s="7">
        <f>EOMONTH(Account_Data[[#This Row],[Date]],0)</f>
        <v>45808</v>
      </c>
      <c r="K61">
        <f>ABS(Account_Data[[#This Row],[Amount]])</f>
        <v>20000</v>
      </c>
    </row>
    <row r="62" spans="1:11" x14ac:dyDescent="0.35">
      <c r="A62" s="73">
        <v>45778</v>
      </c>
      <c r="B62" t="s">
        <v>180</v>
      </c>
      <c r="C62" s="3">
        <v>10000</v>
      </c>
      <c r="E62" s="3">
        <v>133319.03</v>
      </c>
      <c r="F62" t="str">
        <f>TEXT(Account_Data[[#This Row],[Date]],"mmm-yyyy")</f>
        <v>May-2025</v>
      </c>
      <c r="G62" t="str">
        <f>IF(Account_Data[[#This Row],[Credit]]&gt;0,"Income","Expense")</f>
        <v>Expense</v>
      </c>
      <c r="H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2" s="3">
        <f>Account_Data[[#This Row],[Credit]]-Account_Data[[#This Row],[Debit]]</f>
        <v>-10000</v>
      </c>
      <c r="J62" s="7">
        <f>EOMONTH(Account_Data[[#This Row],[Date]],0)</f>
        <v>45808</v>
      </c>
      <c r="K62">
        <f>ABS(Account_Data[[#This Row],[Amount]])</f>
        <v>10000</v>
      </c>
    </row>
    <row r="63" spans="1:11" x14ac:dyDescent="0.35">
      <c r="A63" s="73">
        <v>45778</v>
      </c>
      <c r="B63" t="s">
        <v>180</v>
      </c>
      <c r="C63" s="3">
        <v>20000</v>
      </c>
      <c r="E63" s="3">
        <v>113319.03</v>
      </c>
      <c r="F63" t="str">
        <f>TEXT(Account_Data[[#This Row],[Date]],"mmm-yyyy")</f>
        <v>May-2025</v>
      </c>
      <c r="G63" t="str">
        <f>IF(Account_Data[[#This Row],[Credit]]&gt;0,"Income","Expense")</f>
        <v>Expense</v>
      </c>
      <c r="H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3" s="3">
        <f>Account_Data[[#This Row],[Credit]]-Account_Data[[#This Row],[Debit]]</f>
        <v>-20000</v>
      </c>
      <c r="J63" s="7">
        <f>EOMONTH(Account_Data[[#This Row],[Date]],0)</f>
        <v>45808</v>
      </c>
      <c r="K63">
        <f>ABS(Account_Data[[#This Row],[Amount]])</f>
        <v>20000</v>
      </c>
    </row>
    <row r="64" spans="1:11" x14ac:dyDescent="0.35">
      <c r="A64" s="73">
        <v>45778</v>
      </c>
      <c r="B64" t="s">
        <v>182</v>
      </c>
      <c r="C64" s="3">
        <v>150</v>
      </c>
      <c r="E64" s="3">
        <v>113169.03</v>
      </c>
      <c r="F64" t="str">
        <f>TEXT(Account_Data[[#This Row],[Date]],"mmm-yyyy")</f>
        <v>May-2025</v>
      </c>
      <c r="G64" t="str">
        <f>IF(Account_Data[[#This Row],[Credit]]&gt;0,"Income","Expense")</f>
        <v>Expense</v>
      </c>
      <c r="H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 s="3">
        <f>Account_Data[[#This Row],[Credit]]-Account_Data[[#This Row],[Debit]]</f>
        <v>-150</v>
      </c>
      <c r="J64" s="7">
        <f>EOMONTH(Account_Data[[#This Row],[Date]],0)</f>
        <v>45808</v>
      </c>
      <c r="K64">
        <f>ABS(Account_Data[[#This Row],[Amount]])</f>
        <v>150</v>
      </c>
    </row>
    <row r="65" spans="1:11" x14ac:dyDescent="0.35">
      <c r="A65" s="73">
        <v>45778</v>
      </c>
      <c r="B65" t="s">
        <v>100</v>
      </c>
      <c r="C65" s="3">
        <v>3991</v>
      </c>
      <c r="E65" s="3">
        <v>109178.03</v>
      </c>
      <c r="F65" t="str">
        <f>TEXT(Account_Data[[#This Row],[Date]],"mmm-yyyy")</f>
        <v>May-2025</v>
      </c>
      <c r="G65" t="str">
        <f>IF(Account_Data[[#This Row],[Credit]]&gt;0,"Income","Expense")</f>
        <v>Expense</v>
      </c>
      <c r="H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65" s="3">
        <f>Account_Data[[#This Row],[Credit]]-Account_Data[[#This Row],[Debit]]</f>
        <v>-3991</v>
      </c>
      <c r="J65" s="7">
        <f>EOMONTH(Account_Data[[#This Row],[Date]],0)</f>
        <v>45808</v>
      </c>
      <c r="K65">
        <f>ABS(Account_Data[[#This Row],[Amount]])</f>
        <v>3991</v>
      </c>
    </row>
    <row r="66" spans="1:11" x14ac:dyDescent="0.35">
      <c r="A66" s="73">
        <v>45778</v>
      </c>
      <c r="B66" t="s">
        <v>90</v>
      </c>
      <c r="C66" s="3">
        <v>1000</v>
      </c>
      <c r="E66" s="3">
        <v>108178.03</v>
      </c>
      <c r="F66" t="str">
        <f>TEXT(Account_Data[[#This Row],[Date]],"mmm-yyyy")</f>
        <v>May-2025</v>
      </c>
      <c r="G66" t="str">
        <f>IF(Account_Data[[#This Row],[Credit]]&gt;0,"Income","Expense")</f>
        <v>Expense</v>
      </c>
      <c r="H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66" s="3">
        <f>Account_Data[[#This Row],[Credit]]-Account_Data[[#This Row],[Debit]]</f>
        <v>-1000</v>
      </c>
      <c r="J66" s="7">
        <f>EOMONTH(Account_Data[[#This Row],[Date]],0)</f>
        <v>45808</v>
      </c>
      <c r="K66">
        <f>ABS(Account_Data[[#This Row],[Amount]])</f>
        <v>1000</v>
      </c>
    </row>
    <row r="67" spans="1:11" x14ac:dyDescent="0.35">
      <c r="A67" s="73">
        <v>45779</v>
      </c>
      <c r="B67" t="s">
        <v>89</v>
      </c>
      <c r="C67" s="3">
        <v>3000</v>
      </c>
      <c r="E67" s="3">
        <v>105178.03</v>
      </c>
      <c r="F67" t="str">
        <f>TEXT(Account_Data[[#This Row],[Date]],"mmm-yyyy")</f>
        <v>May-2025</v>
      </c>
      <c r="G67" t="str">
        <f>IF(Account_Data[[#This Row],[Credit]]&gt;0,"Income","Expense")</f>
        <v>Expense</v>
      </c>
      <c r="H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7" s="3">
        <f>Account_Data[[#This Row],[Credit]]-Account_Data[[#This Row],[Debit]]</f>
        <v>-3000</v>
      </c>
      <c r="J67" s="7">
        <f>EOMONTH(Account_Data[[#This Row],[Date]],0)</f>
        <v>45808</v>
      </c>
      <c r="K67">
        <f>ABS(Account_Data[[#This Row],[Amount]])</f>
        <v>3000</v>
      </c>
    </row>
    <row r="68" spans="1:11" x14ac:dyDescent="0.35">
      <c r="A68" s="73">
        <v>45779</v>
      </c>
      <c r="B68" t="s">
        <v>89</v>
      </c>
      <c r="C68" s="3">
        <v>2000</v>
      </c>
      <c r="E68" s="3">
        <v>103178.03</v>
      </c>
      <c r="F68" t="str">
        <f>TEXT(Account_Data[[#This Row],[Date]],"mmm-yyyy")</f>
        <v>May-2025</v>
      </c>
      <c r="G68" t="str">
        <f>IF(Account_Data[[#This Row],[Credit]]&gt;0,"Income","Expense")</f>
        <v>Expense</v>
      </c>
      <c r="H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 s="3">
        <f>Account_Data[[#This Row],[Credit]]-Account_Data[[#This Row],[Debit]]</f>
        <v>-2000</v>
      </c>
      <c r="J68" s="7">
        <f>EOMONTH(Account_Data[[#This Row],[Date]],0)</f>
        <v>45808</v>
      </c>
      <c r="K68">
        <f>ABS(Account_Data[[#This Row],[Amount]])</f>
        <v>2000</v>
      </c>
    </row>
    <row r="69" spans="1:11" x14ac:dyDescent="0.35">
      <c r="A69" s="73">
        <v>45779</v>
      </c>
      <c r="B69" t="s">
        <v>89</v>
      </c>
      <c r="C69" s="3">
        <v>2000</v>
      </c>
      <c r="E69" s="3">
        <v>101178.03</v>
      </c>
      <c r="F69" t="str">
        <f>TEXT(Account_Data[[#This Row],[Date]],"mmm-yyyy")</f>
        <v>May-2025</v>
      </c>
      <c r="G69" t="str">
        <f>IF(Account_Data[[#This Row],[Credit]]&gt;0,"Income","Expense")</f>
        <v>Expense</v>
      </c>
      <c r="H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9" s="3">
        <f>Account_Data[[#This Row],[Credit]]-Account_Data[[#This Row],[Debit]]</f>
        <v>-2000</v>
      </c>
      <c r="J69" s="7">
        <f>EOMONTH(Account_Data[[#This Row],[Date]],0)</f>
        <v>45808</v>
      </c>
      <c r="K69">
        <f>ABS(Account_Data[[#This Row],[Amount]])</f>
        <v>2000</v>
      </c>
    </row>
    <row r="70" spans="1:11" x14ac:dyDescent="0.35">
      <c r="A70" s="73">
        <v>45779</v>
      </c>
      <c r="B70" t="s">
        <v>89</v>
      </c>
      <c r="C70" s="3">
        <v>2000</v>
      </c>
      <c r="E70" s="3">
        <v>99178.03</v>
      </c>
      <c r="F70" t="str">
        <f>TEXT(Account_Data[[#This Row],[Date]],"mmm-yyyy")</f>
        <v>May-2025</v>
      </c>
      <c r="G70" t="str">
        <f>IF(Account_Data[[#This Row],[Credit]]&gt;0,"Income","Expense")</f>
        <v>Expense</v>
      </c>
      <c r="H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0" s="3">
        <f>Account_Data[[#This Row],[Credit]]-Account_Data[[#This Row],[Debit]]</f>
        <v>-2000</v>
      </c>
      <c r="J70" s="7">
        <f>EOMONTH(Account_Data[[#This Row],[Date]],0)</f>
        <v>45808</v>
      </c>
      <c r="K70">
        <f>ABS(Account_Data[[#This Row],[Amount]])</f>
        <v>2000</v>
      </c>
    </row>
    <row r="71" spans="1:11" x14ac:dyDescent="0.35">
      <c r="A71" s="73">
        <v>45779</v>
      </c>
      <c r="B71" t="s">
        <v>89</v>
      </c>
      <c r="C71" s="3">
        <v>5000</v>
      </c>
      <c r="E71" s="3">
        <v>94178.03</v>
      </c>
      <c r="F71" t="str">
        <f>TEXT(Account_Data[[#This Row],[Date]],"mmm-yyyy")</f>
        <v>May-2025</v>
      </c>
      <c r="G71" t="str">
        <f>IF(Account_Data[[#This Row],[Credit]]&gt;0,"Income","Expense")</f>
        <v>Expense</v>
      </c>
      <c r="H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1" s="3">
        <f>Account_Data[[#This Row],[Credit]]-Account_Data[[#This Row],[Debit]]</f>
        <v>-5000</v>
      </c>
      <c r="J71" s="7">
        <f>EOMONTH(Account_Data[[#This Row],[Date]],0)</f>
        <v>45808</v>
      </c>
      <c r="K71">
        <f>ABS(Account_Data[[#This Row],[Amount]])</f>
        <v>5000</v>
      </c>
    </row>
    <row r="72" spans="1:11" x14ac:dyDescent="0.35">
      <c r="A72" s="73">
        <v>45779</v>
      </c>
      <c r="B72" t="s">
        <v>89</v>
      </c>
      <c r="C72" s="3">
        <v>5000</v>
      </c>
      <c r="E72" s="3">
        <v>89178.03</v>
      </c>
      <c r="F72" t="str">
        <f>TEXT(Account_Data[[#This Row],[Date]],"mmm-yyyy")</f>
        <v>May-2025</v>
      </c>
      <c r="G72" t="str">
        <f>IF(Account_Data[[#This Row],[Credit]]&gt;0,"Income","Expense")</f>
        <v>Expense</v>
      </c>
      <c r="H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2" s="3">
        <f>Account_Data[[#This Row],[Credit]]-Account_Data[[#This Row],[Debit]]</f>
        <v>-5000</v>
      </c>
      <c r="J72" s="7">
        <f>EOMONTH(Account_Data[[#This Row],[Date]],0)</f>
        <v>45808</v>
      </c>
      <c r="K72">
        <f>ABS(Account_Data[[#This Row],[Amount]])</f>
        <v>5000</v>
      </c>
    </row>
    <row r="73" spans="1:11" x14ac:dyDescent="0.35">
      <c r="A73" s="73">
        <v>45779</v>
      </c>
      <c r="B73" t="s">
        <v>90</v>
      </c>
      <c r="C73" s="3">
        <v>1500</v>
      </c>
      <c r="E73" s="3">
        <v>87678.03</v>
      </c>
      <c r="F73" t="str">
        <f>TEXT(Account_Data[[#This Row],[Date]],"mmm-yyyy")</f>
        <v>May-2025</v>
      </c>
      <c r="G73" t="str">
        <f>IF(Account_Data[[#This Row],[Credit]]&gt;0,"Income","Expense")</f>
        <v>Expense</v>
      </c>
      <c r="H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73" s="3">
        <f>Account_Data[[#This Row],[Credit]]-Account_Data[[#This Row],[Debit]]</f>
        <v>-1500</v>
      </c>
      <c r="J73" s="7">
        <f>EOMONTH(Account_Data[[#This Row],[Date]],0)</f>
        <v>45808</v>
      </c>
      <c r="K73">
        <f>ABS(Account_Data[[#This Row],[Amount]])</f>
        <v>1500</v>
      </c>
    </row>
    <row r="74" spans="1:11" x14ac:dyDescent="0.35">
      <c r="A74" s="73">
        <v>45779</v>
      </c>
      <c r="B74" t="s">
        <v>177</v>
      </c>
      <c r="C74" s="3">
        <v>6000</v>
      </c>
      <c r="E74" s="3">
        <v>81678.03</v>
      </c>
      <c r="F74" t="str">
        <f>TEXT(Account_Data[[#This Row],[Date]],"mmm-yyyy")</f>
        <v>May-2025</v>
      </c>
      <c r="G74" t="str">
        <f>IF(Account_Data[[#This Row],[Credit]]&gt;0,"Income","Expense")</f>
        <v>Expense</v>
      </c>
      <c r="H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 s="3">
        <f>Account_Data[[#This Row],[Credit]]-Account_Data[[#This Row],[Debit]]</f>
        <v>-6000</v>
      </c>
      <c r="J74" s="7">
        <f>EOMONTH(Account_Data[[#This Row],[Date]],0)</f>
        <v>45808</v>
      </c>
      <c r="K74">
        <f>ABS(Account_Data[[#This Row],[Amount]])</f>
        <v>6000</v>
      </c>
    </row>
    <row r="75" spans="1:11" x14ac:dyDescent="0.35">
      <c r="A75" s="73">
        <v>45779</v>
      </c>
      <c r="B75" t="s">
        <v>183</v>
      </c>
      <c r="C75" s="3">
        <v>25000</v>
      </c>
      <c r="E75" s="3">
        <v>56678.03</v>
      </c>
      <c r="F75" t="str">
        <f>TEXT(Account_Data[[#This Row],[Date]],"mmm-yyyy")</f>
        <v>May-2025</v>
      </c>
      <c r="G75" t="str">
        <f>IF(Account_Data[[#This Row],[Credit]]&gt;0,"Income","Expense")</f>
        <v>Expense</v>
      </c>
      <c r="H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 s="3">
        <f>Account_Data[[#This Row],[Credit]]-Account_Data[[#This Row],[Debit]]</f>
        <v>-25000</v>
      </c>
      <c r="J75" s="7">
        <f>EOMONTH(Account_Data[[#This Row],[Date]],0)</f>
        <v>45808</v>
      </c>
      <c r="K75">
        <f>ABS(Account_Data[[#This Row],[Amount]])</f>
        <v>25000</v>
      </c>
    </row>
    <row r="76" spans="1:11" x14ac:dyDescent="0.35">
      <c r="A76" s="73">
        <v>45779</v>
      </c>
      <c r="B76" t="s">
        <v>149</v>
      </c>
      <c r="C76" s="3">
        <v>746</v>
      </c>
      <c r="E76" s="3">
        <v>55932.03</v>
      </c>
      <c r="F76" t="str">
        <f>TEXT(Account_Data[[#This Row],[Date]],"mmm-yyyy")</f>
        <v>May-2025</v>
      </c>
      <c r="G76" t="str">
        <f>IF(Account_Data[[#This Row],[Credit]]&gt;0,"Income","Expense")</f>
        <v>Expense</v>
      </c>
      <c r="H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6" s="3">
        <f>Account_Data[[#This Row],[Credit]]-Account_Data[[#This Row],[Debit]]</f>
        <v>-746</v>
      </c>
      <c r="J76" s="7">
        <f>EOMONTH(Account_Data[[#This Row],[Date]],0)</f>
        <v>45808</v>
      </c>
      <c r="K76">
        <f>ABS(Account_Data[[#This Row],[Amount]])</f>
        <v>746</v>
      </c>
    </row>
    <row r="77" spans="1:11" x14ac:dyDescent="0.35">
      <c r="A77" s="73">
        <v>45780</v>
      </c>
      <c r="B77" t="s">
        <v>184</v>
      </c>
      <c r="C77" s="3">
        <v>262</v>
      </c>
      <c r="E77" s="3">
        <v>55670.03</v>
      </c>
      <c r="F77" t="str">
        <f>TEXT(Account_Data[[#This Row],[Date]],"mmm-yyyy")</f>
        <v>May-2025</v>
      </c>
      <c r="G77" t="str">
        <f>IF(Account_Data[[#This Row],[Credit]]&gt;0,"Income","Expense")</f>
        <v>Expense</v>
      </c>
      <c r="H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7" s="3">
        <f>Account_Data[[#This Row],[Credit]]-Account_Data[[#This Row],[Debit]]</f>
        <v>-262</v>
      </c>
      <c r="J77" s="7">
        <f>EOMONTH(Account_Data[[#This Row],[Date]],0)</f>
        <v>45808</v>
      </c>
      <c r="K77">
        <f>ABS(Account_Data[[#This Row],[Amount]])</f>
        <v>262</v>
      </c>
    </row>
    <row r="78" spans="1:11" x14ac:dyDescent="0.35">
      <c r="A78" s="73">
        <v>45781</v>
      </c>
      <c r="B78" t="s">
        <v>91</v>
      </c>
      <c r="C78" s="3">
        <v>6280</v>
      </c>
      <c r="E78" s="3">
        <v>49390.03</v>
      </c>
      <c r="F78" t="str">
        <f>TEXT(Account_Data[[#This Row],[Date]],"mmm-yyyy")</f>
        <v>May-2025</v>
      </c>
      <c r="G78" t="str">
        <f>IF(Account_Data[[#This Row],[Credit]]&gt;0,"Income","Expense")</f>
        <v>Expense</v>
      </c>
      <c r="H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8" s="3">
        <f>Account_Data[[#This Row],[Credit]]-Account_Data[[#This Row],[Debit]]</f>
        <v>-6280</v>
      </c>
      <c r="J78" s="7">
        <f>EOMONTH(Account_Data[[#This Row],[Date]],0)</f>
        <v>45808</v>
      </c>
      <c r="K78">
        <f>ABS(Account_Data[[#This Row],[Amount]])</f>
        <v>6280</v>
      </c>
    </row>
    <row r="79" spans="1:11" x14ac:dyDescent="0.35">
      <c r="A79" s="73">
        <v>45781</v>
      </c>
      <c r="B79" t="s">
        <v>185</v>
      </c>
      <c r="C79" s="3">
        <v>629.1</v>
      </c>
      <c r="E79" s="3">
        <v>48760.93</v>
      </c>
      <c r="F79" t="str">
        <f>TEXT(Account_Data[[#This Row],[Date]],"mmm-yyyy")</f>
        <v>May-2025</v>
      </c>
      <c r="G79" t="str">
        <f>IF(Account_Data[[#This Row],[Credit]]&gt;0,"Income","Expense")</f>
        <v>Expense</v>
      </c>
      <c r="H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 s="3">
        <f>Account_Data[[#This Row],[Credit]]-Account_Data[[#This Row],[Debit]]</f>
        <v>-629.1</v>
      </c>
      <c r="J79" s="7">
        <f>EOMONTH(Account_Data[[#This Row],[Date]],0)</f>
        <v>45808</v>
      </c>
      <c r="K79">
        <f>ABS(Account_Data[[#This Row],[Amount]])</f>
        <v>629.1</v>
      </c>
    </row>
    <row r="80" spans="1:11" x14ac:dyDescent="0.35">
      <c r="A80" s="73">
        <v>45781</v>
      </c>
      <c r="B80" t="s">
        <v>186</v>
      </c>
      <c r="C80" s="3">
        <v>2745</v>
      </c>
      <c r="E80" s="3">
        <v>46015.93</v>
      </c>
      <c r="F80" t="str">
        <f>TEXT(Account_Data[[#This Row],[Date]],"mmm-yyyy")</f>
        <v>May-2025</v>
      </c>
      <c r="G80" t="str">
        <f>IF(Account_Data[[#This Row],[Credit]]&gt;0,"Income","Expense")</f>
        <v>Expense</v>
      </c>
      <c r="H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 s="3">
        <f>Account_Data[[#This Row],[Credit]]-Account_Data[[#This Row],[Debit]]</f>
        <v>-2745</v>
      </c>
      <c r="J80" s="7">
        <f>EOMONTH(Account_Data[[#This Row],[Date]],0)</f>
        <v>45808</v>
      </c>
      <c r="K80">
        <f>ABS(Account_Data[[#This Row],[Amount]])</f>
        <v>2745</v>
      </c>
    </row>
    <row r="81" spans="1:11" x14ac:dyDescent="0.35">
      <c r="A81" s="73">
        <v>45781</v>
      </c>
      <c r="B81" t="s">
        <v>153</v>
      </c>
      <c r="C81" s="3">
        <v>10</v>
      </c>
      <c r="E81" s="3">
        <v>46005.93</v>
      </c>
      <c r="F81" t="str">
        <f>TEXT(Account_Data[[#This Row],[Date]],"mmm-yyyy")</f>
        <v>May-2025</v>
      </c>
      <c r="G81" t="str">
        <f>IF(Account_Data[[#This Row],[Credit]]&gt;0,"Income","Expense")</f>
        <v>Expense</v>
      </c>
      <c r="H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 s="3">
        <f>Account_Data[[#This Row],[Credit]]-Account_Data[[#This Row],[Debit]]</f>
        <v>-10</v>
      </c>
      <c r="J81" s="7">
        <f>EOMONTH(Account_Data[[#This Row],[Date]],0)</f>
        <v>45808</v>
      </c>
      <c r="K81">
        <f>ABS(Account_Data[[#This Row],[Amount]])</f>
        <v>10</v>
      </c>
    </row>
    <row r="82" spans="1:11" x14ac:dyDescent="0.35">
      <c r="A82" s="73">
        <v>45782</v>
      </c>
      <c r="B82" t="s">
        <v>187</v>
      </c>
      <c r="C82" s="3">
        <v>719.1</v>
      </c>
      <c r="E82" s="3">
        <v>45286.83</v>
      </c>
      <c r="F82" t="str">
        <f>TEXT(Account_Data[[#This Row],[Date]],"mmm-yyyy")</f>
        <v>May-2025</v>
      </c>
      <c r="G82" t="str">
        <f>IF(Account_Data[[#This Row],[Credit]]&gt;0,"Income","Expense")</f>
        <v>Expense</v>
      </c>
      <c r="H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 s="3">
        <f>Account_Data[[#This Row],[Credit]]-Account_Data[[#This Row],[Debit]]</f>
        <v>-719.1</v>
      </c>
      <c r="J82" s="7">
        <f>EOMONTH(Account_Data[[#This Row],[Date]],0)</f>
        <v>45808</v>
      </c>
      <c r="K82">
        <f>ABS(Account_Data[[#This Row],[Amount]])</f>
        <v>719.1</v>
      </c>
    </row>
    <row r="83" spans="1:11" x14ac:dyDescent="0.35">
      <c r="A83" s="73">
        <v>45782</v>
      </c>
      <c r="B83" t="s">
        <v>146</v>
      </c>
      <c r="C83" s="3">
        <v>50</v>
      </c>
      <c r="E83" s="3">
        <v>45236.83</v>
      </c>
      <c r="F83" t="str">
        <f>TEXT(Account_Data[[#This Row],[Date]],"mmm-yyyy")</f>
        <v>May-2025</v>
      </c>
      <c r="G83" t="str">
        <f>IF(Account_Data[[#This Row],[Credit]]&gt;0,"Income","Expense")</f>
        <v>Expense</v>
      </c>
      <c r="H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 s="3">
        <f>Account_Data[[#This Row],[Credit]]-Account_Data[[#This Row],[Debit]]</f>
        <v>-50</v>
      </c>
      <c r="J83" s="7">
        <f>EOMONTH(Account_Data[[#This Row],[Date]],0)</f>
        <v>45808</v>
      </c>
      <c r="K83">
        <f>ABS(Account_Data[[#This Row],[Amount]])</f>
        <v>50</v>
      </c>
    </row>
    <row r="84" spans="1:11" x14ac:dyDescent="0.35">
      <c r="A84" s="73">
        <v>45782</v>
      </c>
      <c r="B84" t="s">
        <v>173</v>
      </c>
      <c r="C84" s="3">
        <v>24350</v>
      </c>
      <c r="E84" s="3">
        <v>20886.830000000002</v>
      </c>
      <c r="F84" t="str">
        <f>TEXT(Account_Data[[#This Row],[Date]],"mmm-yyyy")</f>
        <v>May-2025</v>
      </c>
      <c r="G84" t="str">
        <f>IF(Account_Data[[#This Row],[Credit]]&gt;0,"Income","Expense")</f>
        <v>Expense</v>
      </c>
      <c r="H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 s="3">
        <f>Account_Data[[#This Row],[Credit]]-Account_Data[[#This Row],[Debit]]</f>
        <v>-24350</v>
      </c>
      <c r="J84" s="7">
        <f>EOMONTH(Account_Data[[#This Row],[Date]],0)</f>
        <v>45808</v>
      </c>
      <c r="K84">
        <f>ABS(Account_Data[[#This Row],[Amount]])</f>
        <v>24350</v>
      </c>
    </row>
    <row r="85" spans="1:11" x14ac:dyDescent="0.35">
      <c r="A85" s="73">
        <v>45782</v>
      </c>
      <c r="B85" t="s">
        <v>188</v>
      </c>
      <c r="C85" s="3">
        <v>2135</v>
      </c>
      <c r="E85" s="3">
        <v>18751.830000000002</v>
      </c>
      <c r="F85" t="str">
        <f>TEXT(Account_Data[[#This Row],[Date]],"mmm-yyyy")</f>
        <v>May-2025</v>
      </c>
      <c r="G85" t="str">
        <f>IF(Account_Data[[#This Row],[Credit]]&gt;0,"Income","Expense")</f>
        <v>Expense</v>
      </c>
      <c r="H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 s="3">
        <f>Account_Data[[#This Row],[Credit]]-Account_Data[[#This Row],[Debit]]</f>
        <v>-2135</v>
      </c>
      <c r="J85" s="7">
        <f>EOMONTH(Account_Data[[#This Row],[Date]],0)</f>
        <v>45808</v>
      </c>
      <c r="K85">
        <f>ABS(Account_Data[[#This Row],[Amount]])</f>
        <v>2135</v>
      </c>
    </row>
    <row r="86" spans="1:11" x14ac:dyDescent="0.35">
      <c r="A86" s="73">
        <v>45782</v>
      </c>
      <c r="B86" t="s">
        <v>101</v>
      </c>
      <c r="D86" s="3">
        <v>3960</v>
      </c>
      <c r="E86" s="3">
        <v>22711.83</v>
      </c>
      <c r="F86" t="str">
        <f>TEXT(Account_Data[[#This Row],[Date]],"mmm-yyyy")</f>
        <v>May-2025</v>
      </c>
      <c r="G86" t="str">
        <f>IF(Account_Data[[#This Row],[Credit]]&gt;0,"Income","Expense")</f>
        <v>Income</v>
      </c>
      <c r="H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86" s="3">
        <f>Account_Data[[#This Row],[Credit]]-Account_Data[[#This Row],[Debit]]</f>
        <v>3960</v>
      </c>
      <c r="J86" s="7">
        <f>EOMONTH(Account_Data[[#This Row],[Date]],0)</f>
        <v>45808</v>
      </c>
      <c r="K86">
        <f>ABS(Account_Data[[#This Row],[Amount]])</f>
        <v>3960</v>
      </c>
    </row>
    <row r="87" spans="1:11" x14ac:dyDescent="0.35">
      <c r="A87" s="73">
        <v>45783</v>
      </c>
      <c r="B87" t="s">
        <v>102</v>
      </c>
      <c r="D87" s="3">
        <v>22191.22</v>
      </c>
      <c r="E87" s="3">
        <v>44903.05</v>
      </c>
      <c r="F87" t="str">
        <f>TEXT(Account_Data[[#This Row],[Date]],"mmm-yyyy")</f>
        <v>May-2025</v>
      </c>
      <c r="G87" t="str">
        <f>IF(Account_Data[[#This Row],[Credit]]&gt;0,"Income","Expense")</f>
        <v>Income</v>
      </c>
      <c r="H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87" s="3">
        <f>Account_Data[[#This Row],[Credit]]-Account_Data[[#This Row],[Debit]]</f>
        <v>22191.22</v>
      </c>
      <c r="J87" s="7">
        <f>EOMONTH(Account_Data[[#This Row],[Date]],0)</f>
        <v>45808</v>
      </c>
      <c r="K87">
        <f>ABS(Account_Data[[#This Row],[Amount]])</f>
        <v>22191.22</v>
      </c>
    </row>
    <row r="88" spans="1:11" x14ac:dyDescent="0.35">
      <c r="A88" s="73">
        <v>45783</v>
      </c>
      <c r="B88" t="s">
        <v>103</v>
      </c>
      <c r="D88" s="3">
        <v>22143.03</v>
      </c>
      <c r="E88" s="3">
        <v>67046.080000000002</v>
      </c>
      <c r="F88" t="str">
        <f>TEXT(Account_Data[[#This Row],[Date]],"mmm-yyyy")</f>
        <v>May-2025</v>
      </c>
      <c r="G88" t="str">
        <f>IF(Account_Data[[#This Row],[Credit]]&gt;0,"Income","Expense")</f>
        <v>Income</v>
      </c>
      <c r="H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Return</v>
      </c>
      <c r="I88" s="3">
        <f>Account_Data[[#This Row],[Credit]]-Account_Data[[#This Row],[Debit]]</f>
        <v>22143.03</v>
      </c>
      <c r="J88" s="7">
        <f>EOMONTH(Account_Data[[#This Row],[Date]],0)</f>
        <v>45808</v>
      </c>
      <c r="K88">
        <f>ABS(Account_Data[[#This Row],[Amount]])</f>
        <v>22143.03</v>
      </c>
    </row>
    <row r="89" spans="1:11" x14ac:dyDescent="0.35">
      <c r="A89" s="73">
        <v>45784</v>
      </c>
      <c r="B89" t="s">
        <v>91</v>
      </c>
      <c r="C89" s="3">
        <v>8704</v>
      </c>
      <c r="E89" s="3">
        <v>58342.080000000002</v>
      </c>
      <c r="F89" t="str">
        <f>TEXT(Account_Data[[#This Row],[Date]],"mmm-yyyy")</f>
        <v>May-2025</v>
      </c>
      <c r="G89" t="str">
        <f>IF(Account_Data[[#This Row],[Credit]]&gt;0,"Income","Expense")</f>
        <v>Expense</v>
      </c>
      <c r="H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89" s="3">
        <f>Account_Data[[#This Row],[Credit]]-Account_Data[[#This Row],[Debit]]</f>
        <v>-8704</v>
      </c>
      <c r="J89" s="7">
        <f>EOMONTH(Account_Data[[#This Row],[Date]],0)</f>
        <v>45808</v>
      </c>
      <c r="K89">
        <f>ABS(Account_Data[[#This Row],[Amount]])</f>
        <v>8704</v>
      </c>
    </row>
    <row r="90" spans="1:11" x14ac:dyDescent="0.35">
      <c r="A90" s="73">
        <v>45784</v>
      </c>
      <c r="B90" t="s">
        <v>189</v>
      </c>
      <c r="C90" s="3">
        <v>2000</v>
      </c>
      <c r="E90" s="3">
        <v>56342.080000000002</v>
      </c>
      <c r="F90" t="str">
        <f>TEXT(Account_Data[[#This Row],[Date]],"mmm-yyyy")</f>
        <v>May-2025</v>
      </c>
      <c r="G90" t="str">
        <f>IF(Account_Data[[#This Row],[Credit]]&gt;0,"Income","Expense")</f>
        <v>Expense</v>
      </c>
      <c r="H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0" s="3">
        <f>Account_Data[[#This Row],[Credit]]-Account_Data[[#This Row],[Debit]]</f>
        <v>-2000</v>
      </c>
      <c r="J90" s="7">
        <f>EOMONTH(Account_Data[[#This Row],[Date]],0)</f>
        <v>45808</v>
      </c>
      <c r="K90">
        <f>ABS(Account_Data[[#This Row],[Amount]])</f>
        <v>2000</v>
      </c>
    </row>
    <row r="91" spans="1:11" x14ac:dyDescent="0.35">
      <c r="A91" s="73">
        <v>45784</v>
      </c>
      <c r="B91" t="s">
        <v>190</v>
      </c>
      <c r="C91" s="3">
        <v>997</v>
      </c>
      <c r="E91" s="3">
        <v>55345.08</v>
      </c>
      <c r="F91" t="str">
        <f>TEXT(Account_Data[[#This Row],[Date]],"mmm-yyyy")</f>
        <v>May-2025</v>
      </c>
      <c r="G91" t="str">
        <f>IF(Account_Data[[#This Row],[Credit]]&gt;0,"Income","Expense")</f>
        <v>Expense</v>
      </c>
      <c r="H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1" s="3">
        <f>Account_Data[[#This Row],[Credit]]-Account_Data[[#This Row],[Debit]]</f>
        <v>-997</v>
      </c>
      <c r="J91" s="7">
        <f>EOMONTH(Account_Data[[#This Row],[Date]],0)</f>
        <v>45808</v>
      </c>
      <c r="K91">
        <f>ABS(Account_Data[[#This Row],[Amount]])</f>
        <v>997</v>
      </c>
    </row>
    <row r="92" spans="1:11" x14ac:dyDescent="0.35">
      <c r="A92" s="73">
        <v>45785</v>
      </c>
      <c r="B92" t="s">
        <v>191</v>
      </c>
      <c r="C92" s="3">
        <v>5000</v>
      </c>
      <c r="E92" s="3">
        <v>50345.08</v>
      </c>
      <c r="F92" t="str">
        <f>TEXT(Account_Data[[#This Row],[Date]],"mmm-yyyy")</f>
        <v>May-2025</v>
      </c>
      <c r="G92" t="str">
        <f>IF(Account_Data[[#This Row],[Credit]]&gt;0,"Income","Expense")</f>
        <v>Expense</v>
      </c>
      <c r="H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2" s="3">
        <f>Account_Data[[#This Row],[Credit]]-Account_Data[[#This Row],[Debit]]</f>
        <v>-5000</v>
      </c>
      <c r="J92" s="7">
        <f>EOMONTH(Account_Data[[#This Row],[Date]],0)</f>
        <v>45808</v>
      </c>
      <c r="K92">
        <f>ABS(Account_Data[[#This Row],[Amount]])</f>
        <v>5000</v>
      </c>
    </row>
    <row r="93" spans="1:11" x14ac:dyDescent="0.35">
      <c r="A93" s="73">
        <v>45786</v>
      </c>
      <c r="B93" t="s">
        <v>145</v>
      </c>
      <c r="C93" s="3">
        <v>2300</v>
      </c>
      <c r="E93" s="3">
        <v>48045.08</v>
      </c>
      <c r="F93" t="str">
        <f>TEXT(Account_Data[[#This Row],[Date]],"mmm-yyyy")</f>
        <v>May-2025</v>
      </c>
      <c r="G93" t="str">
        <f>IF(Account_Data[[#This Row],[Credit]]&gt;0,"Income","Expense")</f>
        <v>Expense</v>
      </c>
      <c r="H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3" s="3">
        <f>Account_Data[[#This Row],[Credit]]-Account_Data[[#This Row],[Debit]]</f>
        <v>-2300</v>
      </c>
      <c r="J93" s="7">
        <f>EOMONTH(Account_Data[[#This Row],[Date]],0)</f>
        <v>45808</v>
      </c>
      <c r="K93">
        <f>ABS(Account_Data[[#This Row],[Amount]])</f>
        <v>2300</v>
      </c>
    </row>
    <row r="94" spans="1:11" x14ac:dyDescent="0.35">
      <c r="A94" s="73">
        <v>45786</v>
      </c>
      <c r="B94" t="s">
        <v>192</v>
      </c>
      <c r="C94" s="3">
        <v>20</v>
      </c>
      <c r="E94" s="3">
        <v>48025.08</v>
      </c>
      <c r="F94" t="str">
        <f>TEXT(Account_Data[[#This Row],[Date]],"mmm-yyyy")</f>
        <v>May-2025</v>
      </c>
      <c r="G94" t="str">
        <f>IF(Account_Data[[#This Row],[Credit]]&gt;0,"Income","Expense")</f>
        <v>Expense</v>
      </c>
      <c r="H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94" s="3">
        <f>Account_Data[[#This Row],[Credit]]-Account_Data[[#This Row],[Debit]]</f>
        <v>-20</v>
      </c>
      <c r="J94" s="7">
        <f>EOMONTH(Account_Data[[#This Row],[Date]],0)</f>
        <v>45808</v>
      </c>
      <c r="K94">
        <f>ABS(Account_Data[[#This Row],[Amount]])</f>
        <v>20</v>
      </c>
    </row>
    <row r="95" spans="1:11" x14ac:dyDescent="0.35">
      <c r="A95" s="73">
        <v>45786</v>
      </c>
      <c r="B95" t="s">
        <v>104</v>
      </c>
      <c r="D95" s="3">
        <v>59.52</v>
      </c>
      <c r="E95" s="3">
        <v>48084.6</v>
      </c>
      <c r="F95" t="str">
        <f>TEXT(Account_Data[[#This Row],[Date]],"mmm-yyyy")</f>
        <v>May-2025</v>
      </c>
      <c r="G95" t="str">
        <f>IF(Account_Data[[#This Row],[Credit]]&gt;0,"Income","Expense")</f>
        <v>Income</v>
      </c>
      <c r="H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95" s="3">
        <f>Account_Data[[#This Row],[Credit]]-Account_Data[[#This Row],[Debit]]</f>
        <v>59.52</v>
      </c>
      <c r="J95" s="7">
        <f>EOMONTH(Account_Data[[#This Row],[Date]],0)</f>
        <v>45808</v>
      </c>
      <c r="K95">
        <f>ABS(Account_Data[[#This Row],[Amount]])</f>
        <v>59.52</v>
      </c>
    </row>
    <row r="96" spans="1:11" x14ac:dyDescent="0.35">
      <c r="A96" s="73">
        <v>45786</v>
      </c>
      <c r="B96" t="s">
        <v>193</v>
      </c>
      <c r="C96" s="3">
        <v>550</v>
      </c>
      <c r="E96" s="3">
        <v>47534.6</v>
      </c>
      <c r="F96" t="str">
        <f>TEXT(Account_Data[[#This Row],[Date]],"mmm-yyyy")</f>
        <v>May-2025</v>
      </c>
      <c r="G96" t="str">
        <f>IF(Account_Data[[#This Row],[Credit]]&gt;0,"Income","Expense")</f>
        <v>Expense</v>
      </c>
      <c r="H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6" s="3">
        <f>Account_Data[[#This Row],[Credit]]-Account_Data[[#This Row],[Debit]]</f>
        <v>-550</v>
      </c>
      <c r="J96" s="7">
        <f>EOMONTH(Account_Data[[#This Row],[Date]],0)</f>
        <v>45808</v>
      </c>
      <c r="K96">
        <f>ABS(Account_Data[[#This Row],[Amount]])</f>
        <v>550</v>
      </c>
    </row>
    <row r="97" spans="1:11" x14ac:dyDescent="0.35">
      <c r="A97" s="73">
        <v>45786</v>
      </c>
      <c r="B97" t="s">
        <v>194</v>
      </c>
      <c r="C97" s="3">
        <v>2000</v>
      </c>
      <c r="E97" s="3">
        <v>45534.6</v>
      </c>
      <c r="F97" t="str">
        <f>TEXT(Account_Data[[#This Row],[Date]],"mmm-yyyy")</f>
        <v>May-2025</v>
      </c>
      <c r="G97" t="str">
        <f>IF(Account_Data[[#This Row],[Credit]]&gt;0,"Income","Expense")</f>
        <v>Expense</v>
      </c>
      <c r="H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7" s="3">
        <f>Account_Data[[#This Row],[Credit]]-Account_Data[[#This Row],[Debit]]</f>
        <v>-2000</v>
      </c>
      <c r="J97" s="7">
        <f>EOMONTH(Account_Data[[#This Row],[Date]],0)</f>
        <v>45808</v>
      </c>
      <c r="K97">
        <f>ABS(Account_Data[[#This Row],[Amount]])</f>
        <v>2000</v>
      </c>
    </row>
    <row r="98" spans="1:11" x14ac:dyDescent="0.35">
      <c r="A98" s="73">
        <v>45787</v>
      </c>
      <c r="B98" t="s">
        <v>195</v>
      </c>
      <c r="C98" s="3">
        <v>10000</v>
      </c>
      <c r="E98" s="3">
        <v>35534.6</v>
      </c>
      <c r="F98" t="str">
        <f>TEXT(Account_Data[[#This Row],[Date]],"mmm-yyyy")</f>
        <v>May-2025</v>
      </c>
      <c r="G98" t="str">
        <f>IF(Account_Data[[#This Row],[Credit]]&gt;0,"Income","Expense")</f>
        <v>Expense</v>
      </c>
      <c r="H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98" s="3">
        <f>Account_Data[[#This Row],[Credit]]-Account_Data[[#This Row],[Debit]]</f>
        <v>-10000</v>
      </c>
      <c r="J98" s="7">
        <f>EOMONTH(Account_Data[[#This Row],[Date]],0)</f>
        <v>45808</v>
      </c>
      <c r="K98">
        <f>ABS(Account_Data[[#This Row],[Amount]])</f>
        <v>10000</v>
      </c>
    </row>
    <row r="99" spans="1:11" x14ac:dyDescent="0.35">
      <c r="A99" s="73">
        <v>45787</v>
      </c>
      <c r="B99" t="s">
        <v>195</v>
      </c>
      <c r="C99" s="3">
        <v>1000</v>
      </c>
      <c r="E99" s="3">
        <v>34534.6</v>
      </c>
      <c r="F99" t="str">
        <f>TEXT(Account_Data[[#This Row],[Date]],"mmm-yyyy")</f>
        <v>May-2025</v>
      </c>
      <c r="G99" t="str">
        <f>IF(Account_Data[[#This Row],[Credit]]&gt;0,"Income","Expense")</f>
        <v>Expense</v>
      </c>
      <c r="H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99" s="3">
        <f>Account_Data[[#This Row],[Credit]]-Account_Data[[#This Row],[Debit]]</f>
        <v>-1000</v>
      </c>
      <c r="J99" s="7">
        <f>EOMONTH(Account_Data[[#This Row],[Date]],0)</f>
        <v>45808</v>
      </c>
      <c r="K99">
        <f>ABS(Account_Data[[#This Row],[Amount]])</f>
        <v>1000</v>
      </c>
    </row>
    <row r="100" spans="1:11" x14ac:dyDescent="0.35">
      <c r="A100" s="73">
        <v>45787</v>
      </c>
      <c r="B100" t="s">
        <v>196</v>
      </c>
      <c r="C100" s="3">
        <v>10000</v>
      </c>
      <c r="E100" s="3">
        <v>24534.6</v>
      </c>
      <c r="F100" t="str">
        <f>TEXT(Account_Data[[#This Row],[Date]],"mmm-yyyy")</f>
        <v>May-2025</v>
      </c>
      <c r="G100" t="str">
        <f>IF(Account_Data[[#This Row],[Credit]]&gt;0,"Income","Expense")</f>
        <v>Expense</v>
      </c>
      <c r="H1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100" s="3">
        <f>Account_Data[[#This Row],[Credit]]-Account_Data[[#This Row],[Debit]]</f>
        <v>-10000</v>
      </c>
      <c r="J100" s="7">
        <f>EOMONTH(Account_Data[[#This Row],[Date]],0)</f>
        <v>45808</v>
      </c>
      <c r="K100">
        <f>ABS(Account_Data[[#This Row],[Amount]])</f>
        <v>10000</v>
      </c>
    </row>
    <row r="101" spans="1:11" x14ac:dyDescent="0.35">
      <c r="A101" s="73">
        <v>45788</v>
      </c>
      <c r="B101" t="s">
        <v>197</v>
      </c>
      <c r="C101" s="3">
        <v>1500</v>
      </c>
      <c r="E101" s="3">
        <v>23034.6</v>
      </c>
      <c r="F101" t="str">
        <f>TEXT(Account_Data[[#This Row],[Date]],"mmm-yyyy")</f>
        <v>May-2025</v>
      </c>
      <c r="G101" t="str">
        <f>IF(Account_Data[[#This Row],[Credit]]&gt;0,"Income","Expense")</f>
        <v>Expense</v>
      </c>
      <c r="H1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01" s="3">
        <f>Account_Data[[#This Row],[Credit]]-Account_Data[[#This Row],[Debit]]</f>
        <v>-1500</v>
      </c>
      <c r="J101" s="7">
        <f>EOMONTH(Account_Data[[#This Row],[Date]],0)</f>
        <v>45808</v>
      </c>
      <c r="K101">
        <f>ABS(Account_Data[[#This Row],[Amount]])</f>
        <v>1500</v>
      </c>
    </row>
    <row r="102" spans="1:11" x14ac:dyDescent="0.35">
      <c r="A102" s="73">
        <v>45789</v>
      </c>
      <c r="B102" t="s">
        <v>168</v>
      </c>
      <c r="C102" s="3">
        <v>505</v>
      </c>
      <c r="E102" s="3">
        <v>22529.599999999999</v>
      </c>
      <c r="F102" t="str">
        <f>TEXT(Account_Data[[#This Row],[Date]],"mmm-yyyy")</f>
        <v>May-2025</v>
      </c>
      <c r="G102" t="str">
        <f>IF(Account_Data[[#This Row],[Credit]]&gt;0,"Income","Expense")</f>
        <v>Expense</v>
      </c>
      <c r="H1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02" s="3">
        <f>Account_Data[[#This Row],[Credit]]-Account_Data[[#This Row],[Debit]]</f>
        <v>-505</v>
      </c>
      <c r="J102" s="7">
        <f>EOMONTH(Account_Data[[#This Row],[Date]],0)</f>
        <v>45808</v>
      </c>
      <c r="K102">
        <f>ABS(Account_Data[[#This Row],[Amount]])</f>
        <v>505</v>
      </c>
    </row>
    <row r="103" spans="1:11" x14ac:dyDescent="0.35">
      <c r="A103" s="73">
        <v>45790</v>
      </c>
      <c r="B103" t="s">
        <v>105</v>
      </c>
      <c r="C103" s="3">
        <v>295</v>
      </c>
      <c r="E103" s="3">
        <v>22234.6</v>
      </c>
      <c r="F103" t="str">
        <f>TEXT(Account_Data[[#This Row],[Date]],"mmm-yyyy")</f>
        <v>May-2025</v>
      </c>
      <c r="G103" t="str">
        <f>IF(Account_Data[[#This Row],[Credit]]&gt;0,"Income","Expense")</f>
        <v>Expense</v>
      </c>
      <c r="H1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03" s="3">
        <f>Account_Data[[#This Row],[Credit]]-Account_Data[[#This Row],[Debit]]</f>
        <v>-295</v>
      </c>
      <c r="J103" s="7">
        <f>EOMONTH(Account_Data[[#This Row],[Date]],0)</f>
        <v>45808</v>
      </c>
      <c r="K103">
        <f>ABS(Account_Data[[#This Row],[Amount]])</f>
        <v>295</v>
      </c>
    </row>
    <row r="104" spans="1:11" x14ac:dyDescent="0.35">
      <c r="A104" s="73">
        <v>45791</v>
      </c>
      <c r="B104" t="s">
        <v>198</v>
      </c>
      <c r="C104" s="3">
        <v>424</v>
      </c>
      <c r="E104" s="3">
        <v>21810.6</v>
      </c>
      <c r="F104" t="str">
        <f>TEXT(Account_Data[[#This Row],[Date]],"mmm-yyyy")</f>
        <v>May-2025</v>
      </c>
      <c r="G104" t="str">
        <f>IF(Account_Data[[#This Row],[Credit]]&gt;0,"Income","Expense")</f>
        <v>Expense</v>
      </c>
      <c r="H1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04" s="3">
        <f>Account_Data[[#This Row],[Credit]]-Account_Data[[#This Row],[Debit]]</f>
        <v>-424</v>
      </c>
      <c r="J104" s="7">
        <f>EOMONTH(Account_Data[[#This Row],[Date]],0)</f>
        <v>45808</v>
      </c>
      <c r="K104">
        <f>ABS(Account_Data[[#This Row],[Amount]])</f>
        <v>424</v>
      </c>
    </row>
    <row r="105" spans="1:11" x14ac:dyDescent="0.35">
      <c r="A105" s="73">
        <v>45792</v>
      </c>
      <c r="B105" t="s">
        <v>180</v>
      </c>
      <c r="C105" s="3">
        <v>5000</v>
      </c>
      <c r="E105" s="3">
        <v>16810.599999999999</v>
      </c>
      <c r="F105" t="str">
        <f>TEXT(Account_Data[[#This Row],[Date]],"mmm-yyyy")</f>
        <v>May-2025</v>
      </c>
      <c r="G105" t="str">
        <f>IF(Account_Data[[#This Row],[Credit]]&gt;0,"Income","Expense")</f>
        <v>Expense</v>
      </c>
      <c r="H1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105" s="3">
        <f>Account_Data[[#This Row],[Credit]]-Account_Data[[#This Row],[Debit]]</f>
        <v>-5000</v>
      </c>
      <c r="J105" s="7">
        <f>EOMONTH(Account_Data[[#This Row],[Date]],0)</f>
        <v>45808</v>
      </c>
      <c r="K105">
        <f>ABS(Account_Data[[#This Row],[Amount]])</f>
        <v>5000</v>
      </c>
    </row>
    <row r="106" spans="1:11" x14ac:dyDescent="0.35">
      <c r="A106" s="73">
        <v>45792</v>
      </c>
      <c r="B106" t="s">
        <v>153</v>
      </c>
      <c r="C106" s="3">
        <v>10</v>
      </c>
      <c r="E106" s="3">
        <v>16800.599999999999</v>
      </c>
      <c r="F106" t="str">
        <f>TEXT(Account_Data[[#This Row],[Date]],"mmm-yyyy")</f>
        <v>May-2025</v>
      </c>
      <c r="G106" t="str">
        <f>IF(Account_Data[[#This Row],[Credit]]&gt;0,"Income","Expense")</f>
        <v>Expense</v>
      </c>
      <c r="H1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06" s="3">
        <f>Account_Data[[#This Row],[Credit]]-Account_Data[[#This Row],[Debit]]</f>
        <v>-10</v>
      </c>
      <c r="J106" s="7">
        <f>EOMONTH(Account_Data[[#This Row],[Date]],0)</f>
        <v>45808</v>
      </c>
      <c r="K106">
        <f>ABS(Account_Data[[#This Row],[Amount]])</f>
        <v>10</v>
      </c>
    </row>
    <row r="107" spans="1:11" x14ac:dyDescent="0.35">
      <c r="A107" s="73">
        <v>45793</v>
      </c>
      <c r="B107" t="s">
        <v>106</v>
      </c>
      <c r="D107" s="3">
        <v>10000</v>
      </c>
      <c r="E107" s="3">
        <v>26800.6</v>
      </c>
      <c r="F107" t="str">
        <f>TEXT(Account_Data[[#This Row],[Date]],"mmm-yyyy")</f>
        <v>May-2025</v>
      </c>
      <c r="G107" t="str">
        <f>IF(Account_Data[[#This Row],[Credit]]&gt;0,"Income","Expense")</f>
        <v>Income</v>
      </c>
      <c r="H1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07" s="3">
        <f>Account_Data[[#This Row],[Credit]]-Account_Data[[#This Row],[Debit]]</f>
        <v>10000</v>
      </c>
      <c r="J107" s="7">
        <f>EOMONTH(Account_Data[[#This Row],[Date]],0)</f>
        <v>45808</v>
      </c>
      <c r="K107">
        <f>ABS(Account_Data[[#This Row],[Amount]])</f>
        <v>10000</v>
      </c>
    </row>
    <row r="108" spans="1:11" x14ac:dyDescent="0.35">
      <c r="A108" s="73">
        <v>45793</v>
      </c>
      <c r="B108" t="s">
        <v>107</v>
      </c>
      <c r="C108" s="3">
        <v>47.2</v>
      </c>
      <c r="E108" s="3">
        <v>26753.4</v>
      </c>
      <c r="F108" t="str">
        <f>TEXT(Account_Data[[#This Row],[Date]],"mmm-yyyy")</f>
        <v>May-2025</v>
      </c>
      <c r="G108" t="str">
        <f>IF(Account_Data[[#This Row],[Credit]]&gt;0,"Income","Expense")</f>
        <v>Expense</v>
      </c>
      <c r="H1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08" s="3">
        <f>Account_Data[[#This Row],[Credit]]-Account_Data[[#This Row],[Debit]]</f>
        <v>-47.2</v>
      </c>
      <c r="J108" s="7">
        <f>EOMONTH(Account_Data[[#This Row],[Date]],0)</f>
        <v>45808</v>
      </c>
      <c r="K108">
        <f>ABS(Account_Data[[#This Row],[Amount]])</f>
        <v>47.2</v>
      </c>
    </row>
    <row r="109" spans="1:11" x14ac:dyDescent="0.35">
      <c r="A109" s="73">
        <v>45793</v>
      </c>
      <c r="B109" t="s">
        <v>108</v>
      </c>
      <c r="D109" s="3">
        <v>1200</v>
      </c>
      <c r="E109" s="3">
        <v>27953.4</v>
      </c>
      <c r="F109" t="str">
        <f>TEXT(Account_Data[[#This Row],[Date]],"mmm-yyyy")</f>
        <v>May-2025</v>
      </c>
      <c r="G109" t="str">
        <f>IF(Account_Data[[#This Row],[Credit]]&gt;0,"Income","Expense")</f>
        <v>Income</v>
      </c>
      <c r="H1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09" s="3">
        <f>Account_Data[[#This Row],[Credit]]-Account_Data[[#This Row],[Debit]]</f>
        <v>1200</v>
      </c>
      <c r="J109" s="7">
        <f>EOMONTH(Account_Data[[#This Row],[Date]],0)</f>
        <v>45808</v>
      </c>
      <c r="K109">
        <f>ABS(Account_Data[[#This Row],[Amount]])</f>
        <v>1200</v>
      </c>
    </row>
    <row r="110" spans="1:11" x14ac:dyDescent="0.35">
      <c r="A110" s="73">
        <v>45794</v>
      </c>
      <c r="B110" t="s">
        <v>108</v>
      </c>
      <c r="D110" s="3">
        <v>200</v>
      </c>
      <c r="E110" s="3">
        <v>28153.4</v>
      </c>
      <c r="F110" t="str">
        <f>TEXT(Account_Data[[#This Row],[Date]],"mmm-yyyy")</f>
        <v>May-2025</v>
      </c>
      <c r="G110" t="str">
        <f>IF(Account_Data[[#This Row],[Credit]]&gt;0,"Income","Expense")</f>
        <v>Income</v>
      </c>
      <c r="H1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0" s="3">
        <f>Account_Data[[#This Row],[Credit]]-Account_Data[[#This Row],[Debit]]</f>
        <v>200</v>
      </c>
      <c r="J110" s="7">
        <f>EOMONTH(Account_Data[[#This Row],[Date]],0)</f>
        <v>45808</v>
      </c>
      <c r="K110">
        <f>ABS(Account_Data[[#This Row],[Amount]])</f>
        <v>200</v>
      </c>
    </row>
    <row r="111" spans="1:11" x14ac:dyDescent="0.35">
      <c r="A111" s="73">
        <v>45797</v>
      </c>
      <c r="B111" t="s">
        <v>102</v>
      </c>
      <c r="D111" s="3">
        <v>4947.6499999999996</v>
      </c>
      <c r="E111" s="3">
        <v>33101.050000000003</v>
      </c>
      <c r="F111" t="str">
        <f>TEXT(Account_Data[[#This Row],[Date]],"mmm-yyyy")</f>
        <v>May-2025</v>
      </c>
      <c r="G111" t="str">
        <f>IF(Account_Data[[#This Row],[Credit]]&gt;0,"Income","Expense")</f>
        <v>Income</v>
      </c>
      <c r="H1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11" s="3">
        <f>Account_Data[[#This Row],[Credit]]-Account_Data[[#This Row],[Debit]]</f>
        <v>4947.6499999999996</v>
      </c>
      <c r="J111" s="7">
        <f>EOMONTH(Account_Data[[#This Row],[Date]],0)</f>
        <v>45808</v>
      </c>
      <c r="K111">
        <f>ABS(Account_Data[[#This Row],[Amount]])</f>
        <v>4947.6499999999996</v>
      </c>
    </row>
    <row r="112" spans="1:11" x14ac:dyDescent="0.35">
      <c r="A112" s="73">
        <v>45797</v>
      </c>
      <c r="B112" t="s">
        <v>109</v>
      </c>
      <c r="D112" s="3">
        <v>90774.84</v>
      </c>
      <c r="E112" s="3">
        <v>123875.89</v>
      </c>
      <c r="F112" t="str">
        <f>TEXT(Account_Data[[#This Row],[Date]],"mmm-yyyy")</f>
        <v>May-2025</v>
      </c>
      <c r="G112" t="str">
        <f>IF(Account_Data[[#This Row],[Credit]]&gt;0,"Income","Expense")</f>
        <v>Income</v>
      </c>
      <c r="H1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Return</v>
      </c>
      <c r="I112" s="3">
        <f>Account_Data[[#This Row],[Credit]]-Account_Data[[#This Row],[Debit]]</f>
        <v>90774.84</v>
      </c>
      <c r="J112" s="7">
        <f>EOMONTH(Account_Data[[#This Row],[Date]],0)</f>
        <v>45808</v>
      </c>
      <c r="K112">
        <f>ABS(Account_Data[[#This Row],[Amount]])</f>
        <v>90774.84</v>
      </c>
    </row>
    <row r="113" spans="1:11" x14ac:dyDescent="0.35">
      <c r="A113" s="73">
        <v>45797</v>
      </c>
      <c r="B113" t="s">
        <v>103</v>
      </c>
      <c r="D113" s="3">
        <v>2953.91</v>
      </c>
      <c r="E113" s="3">
        <v>126829.8</v>
      </c>
      <c r="F113" t="str">
        <f>TEXT(Account_Data[[#This Row],[Date]],"mmm-yyyy")</f>
        <v>May-2025</v>
      </c>
      <c r="G113" t="str">
        <f>IF(Account_Data[[#This Row],[Credit]]&gt;0,"Income","Expense")</f>
        <v>Income</v>
      </c>
      <c r="H1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Return</v>
      </c>
      <c r="I113" s="3">
        <f>Account_Data[[#This Row],[Credit]]-Account_Data[[#This Row],[Debit]]</f>
        <v>2953.91</v>
      </c>
      <c r="J113" s="7">
        <f>EOMONTH(Account_Data[[#This Row],[Date]],0)</f>
        <v>45808</v>
      </c>
      <c r="K113">
        <f>ABS(Account_Data[[#This Row],[Amount]])</f>
        <v>2953.91</v>
      </c>
    </row>
    <row r="114" spans="1:11" x14ac:dyDescent="0.35">
      <c r="A114" s="73">
        <v>45798</v>
      </c>
      <c r="B114" t="s">
        <v>199</v>
      </c>
      <c r="C114" s="3">
        <v>300</v>
      </c>
      <c r="E114" s="3">
        <v>126529.8</v>
      </c>
      <c r="F114" t="str">
        <f>TEXT(Account_Data[[#This Row],[Date]],"mmm-yyyy")</f>
        <v>May-2025</v>
      </c>
      <c r="G114" t="str">
        <f>IF(Account_Data[[#This Row],[Credit]]&gt;0,"Income","Expense")</f>
        <v>Expense</v>
      </c>
      <c r="H1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4" s="3">
        <f>Account_Data[[#This Row],[Credit]]-Account_Data[[#This Row],[Debit]]</f>
        <v>-300</v>
      </c>
      <c r="J114" s="7">
        <f>EOMONTH(Account_Data[[#This Row],[Date]],0)</f>
        <v>45808</v>
      </c>
      <c r="K114">
        <f>ABS(Account_Data[[#This Row],[Amount]])</f>
        <v>300</v>
      </c>
    </row>
    <row r="115" spans="1:11" x14ac:dyDescent="0.35">
      <c r="A115" s="73">
        <v>45798</v>
      </c>
      <c r="B115" t="s">
        <v>200</v>
      </c>
      <c r="C115" s="3">
        <v>8422.52</v>
      </c>
      <c r="E115" s="3">
        <v>118107.28</v>
      </c>
      <c r="F115" t="str">
        <f>TEXT(Account_Data[[#This Row],[Date]],"mmm-yyyy")</f>
        <v>May-2025</v>
      </c>
      <c r="G115" t="str">
        <f>IF(Account_Data[[#This Row],[Credit]]&gt;0,"Income","Expense")</f>
        <v>Expense</v>
      </c>
      <c r="H1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5" s="3">
        <f>Account_Data[[#This Row],[Credit]]-Account_Data[[#This Row],[Debit]]</f>
        <v>-8422.52</v>
      </c>
      <c r="J115" s="7">
        <f>EOMONTH(Account_Data[[#This Row],[Date]],0)</f>
        <v>45808</v>
      </c>
      <c r="K115">
        <f>ABS(Account_Data[[#This Row],[Amount]])</f>
        <v>8422.52</v>
      </c>
    </row>
    <row r="116" spans="1:11" x14ac:dyDescent="0.35">
      <c r="A116" s="73">
        <v>45799</v>
      </c>
      <c r="B116" t="s">
        <v>191</v>
      </c>
      <c r="C116" s="3">
        <v>1100</v>
      </c>
      <c r="E116" s="3">
        <v>117007.28</v>
      </c>
      <c r="F116" t="str">
        <f>TEXT(Account_Data[[#This Row],[Date]],"mmm-yyyy")</f>
        <v>May-2025</v>
      </c>
      <c r="G116" t="str">
        <f>IF(Account_Data[[#This Row],[Credit]]&gt;0,"Income","Expense")</f>
        <v>Expense</v>
      </c>
      <c r="H1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6" s="3">
        <f>Account_Data[[#This Row],[Credit]]-Account_Data[[#This Row],[Debit]]</f>
        <v>-1100</v>
      </c>
      <c r="J116" s="7">
        <f>EOMONTH(Account_Data[[#This Row],[Date]],0)</f>
        <v>45808</v>
      </c>
      <c r="K116">
        <f>ABS(Account_Data[[#This Row],[Amount]])</f>
        <v>1100</v>
      </c>
    </row>
    <row r="117" spans="1:11" x14ac:dyDescent="0.35">
      <c r="A117" s="73">
        <v>45799</v>
      </c>
      <c r="B117" t="s">
        <v>191</v>
      </c>
      <c r="C117" s="3">
        <v>1000</v>
      </c>
      <c r="E117" s="3">
        <v>116007.28</v>
      </c>
      <c r="F117" t="str">
        <f>TEXT(Account_Data[[#This Row],[Date]],"mmm-yyyy")</f>
        <v>May-2025</v>
      </c>
      <c r="G117" t="str">
        <f>IF(Account_Data[[#This Row],[Credit]]&gt;0,"Income","Expense")</f>
        <v>Expense</v>
      </c>
      <c r="H1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7" s="3">
        <f>Account_Data[[#This Row],[Credit]]-Account_Data[[#This Row],[Debit]]</f>
        <v>-1000</v>
      </c>
      <c r="J117" s="7">
        <f>EOMONTH(Account_Data[[#This Row],[Date]],0)</f>
        <v>45808</v>
      </c>
      <c r="K117">
        <f>ABS(Account_Data[[#This Row],[Amount]])</f>
        <v>1000</v>
      </c>
    </row>
    <row r="118" spans="1:11" x14ac:dyDescent="0.35">
      <c r="A118" s="73">
        <v>45799</v>
      </c>
      <c r="B118" t="s">
        <v>201</v>
      </c>
      <c r="C118" s="3">
        <v>1000</v>
      </c>
      <c r="E118" s="3">
        <v>115007.28</v>
      </c>
      <c r="F118" t="str">
        <f>TEXT(Account_Data[[#This Row],[Date]],"mmm-yyyy")</f>
        <v>May-2025</v>
      </c>
      <c r="G118" t="str">
        <f>IF(Account_Data[[#This Row],[Credit]]&gt;0,"Income","Expense")</f>
        <v>Expense</v>
      </c>
      <c r="H1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8" s="3">
        <f>Account_Data[[#This Row],[Credit]]-Account_Data[[#This Row],[Debit]]</f>
        <v>-1000</v>
      </c>
      <c r="J118" s="7">
        <f>EOMONTH(Account_Data[[#This Row],[Date]],0)</f>
        <v>45808</v>
      </c>
      <c r="K118">
        <f>ABS(Account_Data[[#This Row],[Amount]])</f>
        <v>1000</v>
      </c>
    </row>
    <row r="119" spans="1:11" x14ac:dyDescent="0.35">
      <c r="A119" s="73">
        <v>45799</v>
      </c>
      <c r="B119" t="s">
        <v>201</v>
      </c>
      <c r="C119" s="3">
        <v>1000</v>
      </c>
      <c r="E119" s="3">
        <v>114007.28</v>
      </c>
      <c r="F119" t="str">
        <f>TEXT(Account_Data[[#This Row],[Date]],"mmm-yyyy")</f>
        <v>May-2025</v>
      </c>
      <c r="G119" t="str">
        <f>IF(Account_Data[[#This Row],[Credit]]&gt;0,"Income","Expense")</f>
        <v>Expense</v>
      </c>
      <c r="H1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19" s="3">
        <f>Account_Data[[#This Row],[Credit]]-Account_Data[[#This Row],[Debit]]</f>
        <v>-1000</v>
      </c>
      <c r="J119" s="7">
        <f>EOMONTH(Account_Data[[#This Row],[Date]],0)</f>
        <v>45808</v>
      </c>
      <c r="K119">
        <f>ABS(Account_Data[[#This Row],[Amount]])</f>
        <v>1000</v>
      </c>
    </row>
    <row r="120" spans="1:11" x14ac:dyDescent="0.35">
      <c r="A120" s="73">
        <v>45800</v>
      </c>
      <c r="B120" t="s">
        <v>202</v>
      </c>
      <c r="C120" s="3">
        <v>17061</v>
      </c>
      <c r="E120" s="3">
        <v>96946.28</v>
      </c>
      <c r="F120" t="str">
        <f>TEXT(Account_Data[[#This Row],[Date]],"mmm-yyyy")</f>
        <v>May-2025</v>
      </c>
      <c r="G120" t="str">
        <f>IF(Account_Data[[#This Row],[Credit]]&gt;0,"Income","Expense")</f>
        <v>Expense</v>
      </c>
      <c r="H1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120" s="3">
        <f>Account_Data[[#This Row],[Credit]]-Account_Data[[#This Row],[Debit]]</f>
        <v>-17061</v>
      </c>
      <c r="J120" s="7">
        <f>EOMONTH(Account_Data[[#This Row],[Date]],0)</f>
        <v>45808</v>
      </c>
      <c r="K120">
        <f>ABS(Account_Data[[#This Row],[Amount]])</f>
        <v>17061</v>
      </c>
    </row>
    <row r="121" spans="1:11" x14ac:dyDescent="0.35">
      <c r="A121" s="73">
        <v>45801</v>
      </c>
      <c r="B121" t="s">
        <v>203</v>
      </c>
      <c r="C121" s="3">
        <v>30000</v>
      </c>
      <c r="E121" s="3">
        <v>66946.28</v>
      </c>
      <c r="F121" t="str">
        <f>TEXT(Account_Data[[#This Row],[Date]],"mmm-yyyy")</f>
        <v>May-2025</v>
      </c>
      <c r="G121" t="str">
        <f>IF(Account_Data[[#This Row],[Credit]]&gt;0,"Income","Expense")</f>
        <v>Expense</v>
      </c>
      <c r="H1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1" s="3">
        <f>Account_Data[[#This Row],[Credit]]-Account_Data[[#This Row],[Debit]]</f>
        <v>-30000</v>
      </c>
      <c r="J121" s="7">
        <f>EOMONTH(Account_Data[[#This Row],[Date]],0)</f>
        <v>45808</v>
      </c>
      <c r="K121">
        <f>ABS(Account_Data[[#This Row],[Amount]])</f>
        <v>30000</v>
      </c>
    </row>
    <row r="122" spans="1:11" x14ac:dyDescent="0.35">
      <c r="A122" s="73">
        <v>45801</v>
      </c>
      <c r="B122" t="s">
        <v>203</v>
      </c>
      <c r="C122" s="3">
        <v>25000</v>
      </c>
      <c r="E122" s="3">
        <v>41946.28</v>
      </c>
      <c r="F122" t="str">
        <f>TEXT(Account_Data[[#This Row],[Date]],"mmm-yyyy")</f>
        <v>May-2025</v>
      </c>
      <c r="G122" t="str">
        <f>IF(Account_Data[[#This Row],[Credit]]&gt;0,"Income","Expense")</f>
        <v>Expense</v>
      </c>
      <c r="H1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2" s="3">
        <f>Account_Data[[#This Row],[Credit]]-Account_Data[[#This Row],[Debit]]</f>
        <v>-25000</v>
      </c>
      <c r="J122" s="7">
        <f>EOMONTH(Account_Data[[#This Row],[Date]],0)</f>
        <v>45808</v>
      </c>
      <c r="K122">
        <f>ABS(Account_Data[[#This Row],[Amount]])</f>
        <v>25000</v>
      </c>
    </row>
    <row r="123" spans="1:11" x14ac:dyDescent="0.35">
      <c r="A123" s="73">
        <v>45802</v>
      </c>
      <c r="B123" t="s">
        <v>204</v>
      </c>
      <c r="C123" s="3">
        <v>70</v>
      </c>
      <c r="E123" s="3">
        <v>41876.28</v>
      </c>
      <c r="F123" t="str">
        <f>TEXT(Account_Data[[#This Row],[Date]],"mmm-yyyy")</f>
        <v>May-2025</v>
      </c>
      <c r="G123" t="str">
        <f>IF(Account_Data[[#This Row],[Credit]]&gt;0,"Income","Expense")</f>
        <v>Expense</v>
      </c>
      <c r="H1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3" s="3">
        <f>Account_Data[[#This Row],[Credit]]-Account_Data[[#This Row],[Debit]]</f>
        <v>-70</v>
      </c>
      <c r="J123" s="7">
        <f>EOMONTH(Account_Data[[#This Row],[Date]],0)</f>
        <v>45808</v>
      </c>
      <c r="K123">
        <f>ABS(Account_Data[[#This Row],[Amount]])</f>
        <v>70</v>
      </c>
    </row>
    <row r="124" spans="1:11" x14ac:dyDescent="0.35">
      <c r="A124" s="73">
        <v>45803</v>
      </c>
      <c r="B124" t="s">
        <v>205</v>
      </c>
      <c r="C124" s="3">
        <v>26990.15</v>
      </c>
      <c r="E124" s="3">
        <v>14886.13</v>
      </c>
      <c r="F124" t="str">
        <f>TEXT(Account_Data[[#This Row],[Date]],"mmm-yyyy")</f>
        <v>May-2025</v>
      </c>
      <c r="G124" t="str">
        <f>IF(Account_Data[[#This Row],[Credit]]&gt;0,"Income","Expense")</f>
        <v>Expense</v>
      </c>
      <c r="H1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4" s="3">
        <f>Account_Data[[#This Row],[Credit]]-Account_Data[[#This Row],[Debit]]</f>
        <v>-26990.15</v>
      </c>
      <c r="J124" s="7">
        <f>EOMONTH(Account_Data[[#This Row],[Date]],0)</f>
        <v>45808</v>
      </c>
      <c r="K124">
        <f>ABS(Account_Data[[#This Row],[Amount]])</f>
        <v>26990.15</v>
      </c>
    </row>
    <row r="125" spans="1:11" x14ac:dyDescent="0.35">
      <c r="A125" s="73">
        <v>45804</v>
      </c>
      <c r="B125" t="s">
        <v>487</v>
      </c>
      <c r="D125" s="3">
        <v>113225</v>
      </c>
      <c r="E125" s="3">
        <v>128111.13</v>
      </c>
      <c r="F125" t="str">
        <f>TEXT(Account_Data[[#This Row],[Date]],"mmm-yyyy")</f>
        <v>May-2025</v>
      </c>
      <c r="G125" t="str">
        <f>IF(Account_Data[[#This Row],[Credit]]&gt;0,"Income","Expense")</f>
        <v>Income</v>
      </c>
      <c r="H1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125" s="3">
        <f>Account_Data[[#This Row],[Credit]]-Account_Data[[#This Row],[Debit]]</f>
        <v>113225</v>
      </c>
      <c r="J125" s="7">
        <f>EOMONTH(Account_Data[[#This Row],[Date]],0)</f>
        <v>45808</v>
      </c>
      <c r="K125">
        <f>ABS(Account_Data[[#This Row],[Amount]])</f>
        <v>113225</v>
      </c>
    </row>
    <row r="126" spans="1:11" x14ac:dyDescent="0.35">
      <c r="A126" s="73">
        <v>45804</v>
      </c>
      <c r="B126" t="s">
        <v>153</v>
      </c>
      <c r="C126" s="3">
        <v>10</v>
      </c>
      <c r="E126" s="3">
        <v>128101.13</v>
      </c>
      <c r="F126" t="str">
        <f>TEXT(Account_Data[[#This Row],[Date]],"mmm-yyyy")</f>
        <v>May-2025</v>
      </c>
      <c r="G126" t="str">
        <f>IF(Account_Data[[#This Row],[Credit]]&gt;0,"Income","Expense")</f>
        <v>Expense</v>
      </c>
      <c r="H1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6" s="3">
        <f>Account_Data[[#This Row],[Credit]]-Account_Data[[#This Row],[Debit]]</f>
        <v>-10</v>
      </c>
      <c r="J126" s="7">
        <f>EOMONTH(Account_Data[[#This Row],[Date]],0)</f>
        <v>45808</v>
      </c>
      <c r="K126">
        <f>ABS(Account_Data[[#This Row],[Amount]])</f>
        <v>10</v>
      </c>
    </row>
    <row r="127" spans="1:11" x14ac:dyDescent="0.35">
      <c r="A127" s="73">
        <v>45805</v>
      </c>
      <c r="B127" t="s">
        <v>99</v>
      </c>
      <c r="C127" s="3">
        <v>1000</v>
      </c>
      <c r="E127" s="3">
        <v>127101.13</v>
      </c>
      <c r="F127" t="str">
        <f>TEXT(Account_Data[[#This Row],[Date]],"mmm-yyyy")</f>
        <v>May-2025</v>
      </c>
      <c r="G127" t="str">
        <f>IF(Account_Data[[#This Row],[Credit]]&gt;0,"Income","Expense")</f>
        <v>Expense</v>
      </c>
      <c r="H1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27" s="3">
        <f>Account_Data[[#This Row],[Credit]]-Account_Data[[#This Row],[Debit]]</f>
        <v>-1000</v>
      </c>
      <c r="J127" s="7">
        <f>EOMONTH(Account_Data[[#This Row],[Date]],0)</f>
        <v>45808</v>
      </c>
      <c r="K127">
        <f>ABS(Account_Data[[#This Row],[Amount]])</f>
        <v>1000</v>
      </c>
    </row>
    <row r="128" spans="1:11" x14ac:dyDescent="0.35">
      <c r="A128" s="73">
        <v>45805</v>
      </c>
      <c r="B128" t="s">
        <v>206</v>
      </c>
      <c r="C128" s="3">
        <v>1500</v>
      </c>
      <c r="E128" s="3">
        <v>125601.13</v>
      </c>
      <c r="F128" t="str">
        <f>TEXT(Account_Data[[#This Row],[Date]],"mmm-yyyy")</f>
        <v>May-2025</v>
      </c>
      <c r="G128" t="str">
        <f>IF(Account_Data[[#This Row],[Credit]]&gt;0,"Income","Expense")</f>
        <v>Expense</v>
      </c>
      <c r="H1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8" s="3">
        <f>Account_Data[[#This Row],[Credit]]-Account_Data[[#This Row],[Debit]]</f>
        <v>-1500</v>
      </c>
      <c r="J128" s="7">
        <f>EOMONTH(Account_Data[[#This Row],[Date]],0)</f>
        <v>45808</v>
      </c>
      <c r="K128">
        <f>ABS(Account_Data[[#This Row],[Amount]])</f>
        <v>1500</v>
      </c>
    </row>
    <row r="129" spans="1:11" x14ac:dyDescent="0.35">
      <c r="A129" s="73">
        <v>45805</v>
      </c>
      <c r="B129" t="s">
        <v>207</v>
      </c>
      <c r="C129" s="3">
        <v>3450</v>
      </c>
      <c r="E129" s="3">
        <v>122151.13</v>
      </c>
      <c r="F129" t="str">
        <f>TEXT(Account_Data[[#This Row],[Date]],"mmm-yyyy")</f>
        <v>May-2025</v>
      </c>
      <c r="G129" t="str">
        <f>IF(Account_Data[[#This Row],[Credit]]&gt;0,"Income","Expense")</f>
        <v>Expense</v>
      </c>
      <c r="H1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29" s="3">
        <f>Account_Data[[#This Row],[Credit]]-Account_Data[[#This Row],[Debit]]</f>
        <v>-3450</v>
      </c>
      <c r="J129" s="7">
        <f>EOMONTH(Account_Data[[#This Row],[Date]],0)</f>
        <v>45808</v>
      </c>
      <c r="K129">
        <f>ABS(Account_Data[[#This Row],[Amount]])</f>
        <v>3450</v>
      </c>
    </row>
    <row r="130" spans="1:11" x14ac:dyDescent="0.35">
      <c r="A130" s="73">
        <v>45805</v>
      </c>
      <c r="B130" t="s">
        <v>208</v>
      </c>
      <c r="C130" s="3">
        <v>4000</v>
      </c>
      <c r="E130" s="3">
        <v>118151.13</v>
      </c>
      <c r="F130" t="str">
        <f>TEXT(Account_Data[[#This Row],[Date]],"mmm-yyyy")</f>
        <v>May-2025</v>
      </c>
      <c r="G130" t="str">
        <f>IF(Account_Data[[#This Row],[Credit]]&gt;0,"Income","Expense")</f>
        <v>Expense</v>
      </c>
      <c r="H1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30" s="3">
        <f>Account_Data[[#This Row],[Credit]]-Account_Data[[#This Row],[Debit]]</f>
        <v>-4000</v>
      </c>
      <c r="J130" s="7">
        <f>EOMONTH(Account_Data[[#This Row],[Date]],0)</f>
        <v>45808</v>
      </c>
      <c r="K130">
        <f>ABS(Account_Data[[#This Row],[Amount]])</f>
        <v>4000</v>
      </c>
    </row>
    <row r="131" spans="1:11" x14ac:dyDescent="0.35">
      <c r="A131" s="73">
        <v>45808</v>
      </c>
      <c r="B131" t="s">
        <v>191</v>
      </c>
      <c r="C131" s="3">
        <v>17727</v>
      </c>
      <c r="E131" s="3">
        <v>100424.13</v>
      </c>
      <c r="F131" t="str">
        <f>TEXT(Account_Data[[#This Row],[Date]],"mmm-yyyy")</f>
        <v>May-2025</v>
      </c>
      <c r="G131" t="str">
        <f>IF(Account_Data[[#This Row],[Credit]]&gt;0,"Income","Expense")</f>
        <v>Expense</v>
      </c>
      <c r="H1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31" s="3">
        <f>Account_Data[[#This Row],[Credit]]-Account_Data[[#This Row],[Debit]]</f>
        <v>-17727</v>
      </c>
      <c r="J131" s="7">
        <f>EOMONTH(Account_Data[[#This Row],[Date]],0)</f>
        <v>45808</v>
      </c>
      <c r="K131">
        <f>ABS(Account_Data[[#This Row],[Amount]])</f>
        <v>17727</v>
      </c>
    </row>
    <row r="132" spans="1:11" x14ac:dyDescent="0.35">
      <c r="A132" s="73">
        <v>45808</v>
      </c>
      <c r="B132" t="s">
        <v>170</v>
      </c>
      <c r="C132" s="3">
        <v>800</v>
      </c>
      <c r="E132" s="3">
        <v>99624.13</v>
      </c>
      <c r="F132" t="str">
        <f>TEXT(Account_Data[[#This Row],[Date]],"mmm-yyyy")</f>
        <v>May-2025</v>
      </c>
      <c r="G132" t="str">
        <f>IF(Account_Data[[#This Row],[Credit]]&gt;0,"Income","Expense")</f>
        <v>Expense</v>
      </c>
      <c r="H1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32" s="3">
        <f>Account_Data[[#This Row],[Credit]]-Account_Data[[#This Row],[Debit]]</f>
        <v>-800</v>
      </c>
      <c r="J132" s="7">
        <f>EOMONTH(Account_Data[[#This Row],[Date]],0)</f>
        <v>45808</v>
      </c>
      <c r="K132">
        <f>ABS(Account_Data[[#This Row],[Amount]])</f>
        <v>800</v>
      </c>
    </row>
    <row r="133" spans="1:11" x14ac:dyDescent="0.35">
      <c r="A133" s="73">
        <v>45809</v>
      </c>
      <c r="B133" t="s">
        <v>145</v>
      </c>
      <c r="C133" s="3">
        <v>20000</v>
      </c>
      <c r="E133" s="3">
        <v>79624.13</v>
      </c>
      <c r="F133" t="str">
        <f>TEXT(Account_Data[[#This Row],[Date]],"mmm-yyyy")</f>
        <v>Jun-2025</v>
      </c>
      <c r="G133" t="str">
        <f>IF(Account_Data[[#This Row],[Credit]]&gt;0,"Income","Expense")</f>
        <v>Expense</v>
      </c>
      <c r="H1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33" s="3">
        <f>Account_Data[[#This Row],[Credit]]-Account_Data[[#This Row],[Debit]]</f>
        <v>-20000</v>
      </c>
      <c r="J133" s="7">
        <f>EOMONTH(Account_Data[[#This Row],[Date]],0)</f>
        <v>45838</v>
      </c>
      <c r="K133">
        <f>ABS(Account_Data[[#This Row],[Amount]])</f>
        <v>20000</v>
      </c>
    </row>
    <row r="134" spans="1:11" x14ac:dyDescent="0.35">
      <c r="A134" s="73">
        <v>45809</v>
      </c>
      <c r="B134" t="s">
        <v>110</v>
      </c>
      <c r="C134" s="3">
        <v>17318</v>
      </c>
      <c r="E134" s="3">
        <v>62306.13</v>
      </c>
      <c r="F134" t="str">
        <f>TEXT(Account_Data[[#This Row],[Date]],"mmm-yyyy")</f>
        <v>Jun-2025</v>
      </c>
      <c r="G134" t="str">
        <f>IF(Account_Data[[#This Row],[Credit]]&gt;0,"Income","Expense")</f>
        <v>Expense</v>
      </c>
      <c r="H1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34" s="3">
        <f>Account_Data[[#This Row],[Credit]]-Account_Data[[#This Row],[Debit]]</f>
        <v>-17318</v>
      </c>
      <c r="J134" s="7">
        <f>EOMONTH(Account_Data[[#This Row],[Date]],0)</f>
        <v>45838</v>
      </c>
      <c r="K134">
        <f>ABS(Account_Data[[#This Row],[Amount]])</f>
        <v>17318</v>
      </c>
    </row>
    <row r="135" spans="1:11" x14ac:dyDescent="0.35">
      <c r="A135" s="73">
        <v>45809</v>
      </c>
      <c r="B135" t="s">
        <v>90</v>
      </c>
      <c r="C135" s="3">
        <v>1000</v>
      </c>
      <c r="E135" s="3">
        <v>61306.13</v>
      </c>
      <c r="F135" t="str">
        <f>TEXT(Account_Data[[#This Row],[Date]],"mmm-yyyy")</f>
        <v>Jun-2025</v>
      </c>
      <c r="G135" t="str">
        <f>IF(Account_Data[[#This Row],[Credit]]&gt;0,"Income","Expense")</f>
        <v>Expense</v>
      </c>
      <c r="H1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135" s="3">
        <f>Account_Data[[#This Row],[Credit]]-Account_Data[[#This Row],[Debit]]</f>
        <v>-1000</v>
      </c>
      <c r="J135" s="7">
        <f>EOMONTH(Account_Data[[#This Row],[Date]],0)</f>
        <v>45838</v>
      </c>
      <c r="K135">
        <f>ABS(Account_Data[[#This Row],[Amount]])</f>
        <v>1000</v>
      </c>
    </row>
    <row r="136" spans="1:11" x14ac:dyDescent="0.35">
      <c r="A136" s="73">
        <v>45809</v>
      </c>
      <c r="B136" t="s">
        <v>209</v>
      </c>
      <c r="C136" s="3">
        <v>1060</v>
      </c>
      <c r="E136" s="3">
        <v>60246.13</v>
      </c>
      <c r="F136" t="str">
        <f>TEXT(Account_Data[[#This Row],[Date]],"mmm-yyyy")</f>
        <v>Jun-2025</v>
      </c>
      <c r="G136" t="str">
        <f>IF(Account_Data[[#This Row],[Credit]]&gt;0,"Income","Expense")</f>
        <v>Expense</v>
      </c>
      <c r="H1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36" s="3">
        <f>Account_Data[[#This Row],[Credit]]-Account_Data[[#This Row],[Debit]]</f>
        <v>-1060</v>
      </c>
      <c r="J136" s="7">
        <f>EOMONTH(Account_Data[[#This Row],[Date]],0)</f>
        <v>45838</v>
      </c>
      <c r="K136">
        <f>ABS(Account_Data[[#This Row],[Amount]])</f>
        <v>1060</v>
      </c>
    </row>
    <row r="137" spans="1:11" x14ac:dyDescent="0.35">
      <c r="A137" s="73">
        <v>45810</v>
      </c>
      <c r="B137" t="s">
        <v>89</v>
      </c>
      <c r="C137" s="3">
        <v>2000</v>
      </c>
      <c r="E137" s="3">
        <v>58246.13</v>
      </c>
      <c r="F137" t="str">
        <f>TEXT(Account_Data[[#This Row],[Date]],"mmm-yyyy")</f>
        <v>Jun-2025</v>
      </c>
      <c r="G137" t="str">
        <f>IF(Account_Data[[#This Row],[Credit]]&gt;0,"Income","Expense")</f>
        <v>Expense</v>
      </c>
      <c r="H1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37" s="3">
        <f>Account_Data[[#This Row],[Credit]]-Account_Data[[#This Row],[Debit]]</f>
        <v>-2000</v>
      </c>
      <c r="J137" s="7">
        <f>EOMONTH(Account_Data[[#This Row],[Date]],0)</f>
        <v>45838</v>
      </c>
      <c r="K137">
        <f>ABS(Account_Data[[#This Row],[Amount]])</f>
        <v>2000</v>
      </c>
    </row>
    <row r="138" spans="1:11" x14ac:dyDescent="0.35">
      <c r="A138" s="73">
        <v>45810</v>
      </c>
      <c r="B138" t="s">
        <v>89</v>
      </c>
      <c r="C138" s="3">
        <v>5000</v>
      </c>
      <c r="E138" s="3">
        <v>53246.13</v>
      </c>
      <c r="F138" t="str">
        <f>TEXT(Account_Data[[#This Row],[Date]],"mmm-yyyy")</f>
        <v>Jun-2025</v>
      </c>
      <c r="G138" t="str">
        <f>IF(Account_Data[[#This Row],[Credit]]&gt;0,"Income","Expense")</f>
        <v>Expense</v>
      </c>
      <c r="H1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38" s="3">
        <f>Account_Data[[#This Row],[Credit]]-Account_Data[[#This Row],[Debit]]</f>
        <v>-5000</v>
      </c>
      <c r="J138" s="7">
        <f>EOMONTH(Account_Data[[#This Row],[Date]],0)</f>
        <v>45838</v>
      </c>
      <c r="K138">
        <f>ABS(Account_Data[[#This Row],[Amount]])</f>
        <v>5000</v>
      </c>
    </row>
    <row r="139" spans="1:11" x14ac:dyDescent="0.35">
      <c r="A139" s="73">
        <v>45810</v>
      </c>
      <c r="B139" t="s">
        <v>89</v>
      </c>
      <c r="C139" s="3">
        <v>2000</v>
      </c>
      <c r="E139" s="3">
        <v>51246.13</v>
      </c>
      <c r="F139" t="str">
        <f>TEXT(Account_Data[[#This Row],[Date]],"mmm-yyyy")</f>
        <v>Jun-2025</v>
      </c>
      <c r="G139" t="str">
        <f>IF(Account_Data[[#This Row],[Credit]]&gt;0,"Income","Expense")</f>
        <v>Expense</v>
      </c>
      <c r="H1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39" s="3">
        <f>Account_Data[[#This Row],[Credit]]-Account_Data[[#This Row],[Debit]]</f>
        <v>-2000</v>
      </c>
      <c r="J139" s="7">
        <f>EOMONTH(Account_Data[[#This Row],[Date]],0)</f>
        <v>45838</v>
      </c>
      <c r="K139">
        <f>ABS(Account_Data[[#This Row],[Amount]])</f>
        <v>2000</v>
      </c>
    </row>
    <row r="140" spans="1:11" x14ac:dyDescent="0.35">
      <c r="A140" s="73">
        <v>45810</v>
      </c>
      <c r="B140" t="s">
        <v>89</v>
      </c>
      <c r="C140" s="3">
        <v>5000</v>
      </c>
      <c r="E140" s="3">
        <v>46246.13</v>
      </c>
      <c r="F140" t="str">
        <f>TEXT(Account_Data[[#This Row],[Date]],"mmm-yyyy")</f>
        <v>Jun-2025</v>
      </c>
      <c r="G140" t="str">
        <f>IF(Account_Data[[#This Row],[Credit]]&gt;0,"Income","Expense")</f>
        <v>Expense</v>
      </c>
      <c r="H1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40" s="3">
        <f>Account_Data[[#This Row],[Credit]]-Account_Data[[#This Row],[Debit]]</f>
        <v>-5000</v>
      </c>
      <c r="J140" s="7">
        <f>EOMONTH(Account_Data[[#This Row],[Date]],0)</f>
        <v>45838</v>
      </c>
      <c r="K140">
        <f>ABS(Account_Data[[#This Row],[Amount]])</f>
        <v>5000</v>
      </c>
    </row>
    <row r="141" spans="1:11" x14ac:dyDescent="0.35">
      <c r="A141" s="73">
        <v>45810</v>
      </c>
      <c r="B141" t="s">
        <v>89</v>
      </c>
      <c r="C141" s="3">
        <v>3000</v>
      </c>
      <c r="E141" s="3">
        <v>43246.13</v>
      </c>
      <c r="F141" t="str">
        <f>TEXT(Account_Data[[#This Row],[Date]],"mmm-yyyy")</f>
        <v>Jun-2025</v>
      </c>
      <c r="G141" t="str">
        <f>IF(Account_Data[[#This Row],[Credit]]&gt;0,"Income","Expense")</f>
        <v>Expense</v>
      </c>
      <c r="H1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41" s="3">
        <f>Account_Data[[#This Row],[Credit]]-Account_Data[[#This Row],[Debit]]</f>
        <v>-3000</v>
      </c>
      <c r="J141" s="7">
        <f>EOMONTH(Account_Data[[#This Row],[Date]],0)</f>
        <v>45838</v>
      </c>
      <c r="K141">
        <f>ABS(Account_Data[[#This Row],[Amount]])</f>
        <v>3000</v>
      </c>
    </row>
    <row r="142" spans="1:11" x14ac:dyDescent="0.35">
      <c r="A142" s="73">
        <v>45810</v>
      </c>
      <c r="B142" t="s">
        <v>89</v>
      </c>
      <c r="C142" s="3">
        <v>2000</v>
      </c>
      <c r="E142" s="3">
        <v>41246.129999999997</v>
      </c>
      <c r="F142" t="str">
        <f>TEXT(Account_Data[[#This Row],[Date]],"mmm-yyyy")</f>
        <v>Jun-2025</v>
      </c>
      <c r="G142" t="str">
        <f>IF(Account_Data[[#This Row],[Credit]]&gt;0,"Income","Expense")</f>
        <v>Expense</v>
      </c>
      <c r="H1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42" s="3">
        <f>Account_Data[[#This Row],[Credit]]-Account_Data[[#This Row],[Debit]]</f>
        <v>-2000</v>
      </c>
      <c r="J142" s="7">
        <f>EOMONTH(Account_Data[[#This Row],[Date]],0)</f>
        <v>45838</v>
      </c>
      <c r="K142">
        <f>ABS(Account_Data[[#This Row],[Amount]])</f>
        <v>2000</v>
      </c>
    </row>
    <row r="143" spans="1:11" x14ac:dyDescent="0.35">
      <c r="A143" s="73">
        <v>45810</v>
      </c>
      <c r="B143" t="s">
        <v>177</v>
      </c>
      <c r="C143" s="3">
        <v>10000</v>
      </c>
      <c r="E143" s="3">
        <v>31246.13</v>
      </c>
      <c r="F143" t="str">
        <f>TEXT(Account_Data[[#This Row],[Date]],"mmm-yyyy")</f>
        <v>Jun-2025</v>
      </c>
      <c r="G143" t="str">
        <f>IF(Account_Data[[#This Row],[Credit]]&gt;0,"Income","Expense")</f>
        <v>Expense</v>
      </c>
      <c r="H1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43" s="3">
        <f>Account_Data[[#This Row],[Credit]]-Account_Data[[#This Row],[Debit]]</f>
        <v>-10000</v>
      </c>
      <c r="J143" s="7">
        <f>EOMONTH(Account_Data[[#This Row],[Date]],0)</f>
        <v>45838</v>
      </c>
      <c r="K143">
        <f>ABS(Account_Data[[#This Row],[Amount]])</f>
        <v>10000</v>
      </c>
    </row>
    <row r="144" spans="1:11" x14ac:dyDescent="0.35">
      <c r="A144" s="73">
        <v>45810</v>
      </c>
      <c r="B144" t="s">
        <v>90</v>
      </c>
      <c r="C144" s="3">
        <v>1500</v>
      </c>
      <c r="E144" s="3">
        <v>29746.13</v>
      </c>
      <c r="F144" t="str">
        <f>TEXT(Account_Data[[#This Row],[Date]],"mmm-yyyy")</f>
        <v>Jun-2025</v>
      </c>
      <c r="G144" t="str">
        <f>IF(Account_Data[[#This Row],[Credit]]&gt;0,"Income","Expense")</f>
        <v>Expense</v>
      </c>
      <c r="H1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144" s="3">
        <f>Account_Data[[#This Row],[Credit]]-Account_Data[[#This Row],[Debit]]</f>
        <v>-1500</v>
      </c>
      <c r="J144" s="7">
        <f>EOMONTH(Account_Data[[#This Row],[Date]],0)</f>
        <v>45838</v>
      </c>
      <c r="K144">
        <f>ABS(Account_Data[[#This Row],[Amount]])</f>
        <v>1500</v>
      </c>
    </row>
    <row r="145" spans="1:11" x14ac:dyDescent="0.35">
      <c r="A145" s="73">
        <v>45810</v>
      </c>
      <c r="B145" t="s">
        <v>111</v>
      </c>
      <c r="D145" s="3">
        <v>2000</v>
      </c>
      <c r="E145" s="3">
        <v>31746.13</v>
      </c>
      <c r="F145" t="str">
        <f>TEXT(Account_Data[[#This Row],[Date]],"mmm-yyyy")</f>
        <v>Jun-2025</v>
      </c>
      <c r="G145" t="str">
        <f>IF(Account_Data[[#This Row],[Credit]]&gt;0,"Income","Expense")</f>
        <v>Income</v>
      </c>
      <c r="H1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45" s="3">
        <f>Account_Data[[#This Row],[Credit]]-Account_Data[[#This Row],[Debit]]</f>
        <v>2000</v>
      </c>
      <c r="J145" s="7">
        <f>EOMONTH(Account_Data[[#This Row],[Date]],0)</f>
        <v>45838</v>
      </c>
      <c r="K145">
        <f>ABS(Account_Data[[#This Row],[Amount]])</f>
        <v>2000</v>
      </c>
    </row>
    <row r="146" spans="1:11" x14ac:dyDescent="0.35">
      <c r="A146" s="73">
        <v>45812</v>
      </c>
      <c r="B146" t="s">
        <v>91</v>
      </c>
      <c r="C146" s="3">
        <v>6280</v>
      </c>
      <c r="E146" s="3">
        <v>25466.13</v>
      </c>
      <c r="F146" t="str">
        <f>TEXT(Account_Data[[#This Row],[Date]],"mmm-yyyy")</f>
        <v>Jun-2025</v>
      </c>
      <c r="G146" t="str">
        <f>IF(Account_Data[[#This Row],[Credit]]&gt;0,"Income","Expense")</f>
        <v>Expense</v>
      </c>
      <c r="H1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46" s="3">
        <f>Account_Data[[#This Row],[Credit]]-Account_Data[[#This Row],[Debit]]</f>
        <v>-6280</v>
      </c>
      <c r="J146" s="7">
        <f>EOMONTH(Account_Data[[#This Row],[Date]],0)</f>
        <v>45838</v>
      </c>
      <c r="K146">
        <f>ABS(Account_Data[[#This Row],[Amount]])</f>
        <v>6280</v>
      </c>
    </row>
    <row r="147" spans="1:11" x14ac:dyDescent="0.35">
      <c r="A147" s="73">
        <v>45813</v>
      </c>
      <c r="B147" t="s">
        <v>146</v>
      </c>
      <c r="C147" s="3">
        <v>50</v>
      </c>
      <c r="E147" s="3">
        <v>25416.13</v>
      </c>
      <c r="F147" t="str">
        <f>TEXT(Account_Data[[#This Row],[Date]],"mmm-yyyy")</f>
        <v>Jun-2025</v>
      </c>
      <c r="G147" t="str">
        <f>IF(Account_Data[[#This Row],[Credit]]&gt;0,"Income","Expense")</f>
        <v>Expense</v>
      </c>
      <c r="H1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47" s="3">
        <f>Account_Data[[#This Row],[Credit]]-Account_Data[[#This Row],[Debit]]</f>
        <v>-50</v>
      </c>
      <c r="J147" s="7">
        <f>EOMONTH(Account_Data[[#This Row],[Date]],0)</f>
        <v>45838</v>
      </c>
      <c r="K147">
        <f>ABS(Account_Data[[#This Row],[Amount]])</f>
        <v>50</v>
      </c>
    </row>
    <row r="148" spans="1:11" x14ac:dyDescent="0.35">
      <c r="A148" s="73">
        <v>45813</v>
      </c>
      <c r="B148" t="s">
        <v>180</v>
      </c>
      <c r="C148" s="3">
        <v>20000</v>
      </c>
      <c r="E148" s="3">
        <v>5416.13</v>
      </c>
      <c r="F148" t="str">
        <f>TEXT(Account_Data[[#This Row],[Date]],"mmm-yyyy")</f>
        <v>Jun-2025</v>
      </c>
      <c r="G148" t="str">
        <f>IF(Account_Data[[#This Row],[Credit]]&gt;0,"Income","Expense")</f>
        <v>Expense</v>
      </c>
      <c r="H1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148" s="3">
        <f>Account_Data[[#This Row],[Credit]]-Account_Data[[#This Row],[Debit]]</f>
        <v>-20000</v>
      </c>
      <c r="J148" s="7">
        <f>EOMONTH(Account_Data[[#This Row],[Date]],0)</f>
        <v>45838</v>
      </c>
      <c r="K148">
        <f>ABS(Account_Data[[#This Row],[Amount]])</f>
        <v>20000</v>
      </c>
    </row>
    <row r="149" spans="1:11" x14ac:dyDescent="0.35">
      <c r="A149" s="73">
        <v>45813</v>
      </c>
      <c r="B149" t="s">
        <v>210</v>
      </c>
      <c r="C149" s="3">
        <v>2000</v>
      </c>
      <c r="E149" s="3">
        <v>3416.13</v>
      </c>
      <c r="F149" t="str">
        <f>TEXT(Account_Data[[#This Row],[Date]],"mmm-yyyy")</f>
        <v>Jun-2025</v>
      </c>
      <c r="G149" t="str">
        <f>IF(Account_Data[[#This Row],[Credit]]&gt;0,"Income","Expense")</f>
        <v>Expense</v>
      </c>
      <c r="H1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49" s="3">
        <f>Account_Data[[#This Row],[Credit]]-Account_Data[[#This Row],[Debit]]</f>
        <v>-2000</v>
      </c>
      <c r="J149" s="7">
        <f>EOMONTH(Account_Data[[#This Row],[Date]],0)</f>
        <v>45838</v>
      </c>
      <c r="K149">
        <f>ABS(Account_Data[[#This Row],[Amount]])</f>
        <v>2000</v>
      </c>
    </row>
    <row r="150" spans="1:11" x14ac:dyDescent="0.35">
      <c r="A150" s="73">
        <v>45817</v>
      </c>
      <c r="B150" t="s">
        <v>112</v>
      </c>
      <c r="D150" s="3">
        <v>59.52</v>
      </c>
      <c r="E150" s="3">
        <v>3475.65</v>
      </c>
      <c r="F150" t="str">
        <f>TEXT(Account_Data[[#This Row],[Date]],"mmm-yyyy")</f>
        <v>Jun-2025</v>
      </c>
      <c r="G150" t="str">
        <f>IF(Account_Data[[#This Row],[Credit]]&gt;0,"Income","Expense")</f>
        <v>Income</v>
      </c>
      <c r="H1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50" s="3">
        <f>Account_Data[[#This Row],[Credit]]-Account_Data[[#This Row],[Debit]]</f>
        <v>59.52</v>
      </c>
      <c r="J150" s="7">
        <f>EOMONTH(Account_Data[[#This Row],[Date]],0)</f>
        <v>45838</v>
      </c>
      <c r="K150">
        <f>ABS(Account_Data[[#This Row],[Amount]])</f>
        <v>59.52</v>
      </c>
    </row>
    <row r="151" spans="1:11" x14ac:dyDescent="0.35">
      <c r="A151" s="73">
        <v>45827</v>
      </c>
      <c r="B151" t="s">
        <v>211</v>
      </c>
      <c r="C151" s="3">
        <v>100</v>
      </c>
      <c r="E151" s="3">
        <v>3375.65</v>
      </c>
      <c r="F151" t="str">
        <f>TEXT(Account_Data[[#This Row],[Date]],"mmm-yyyy")</f>
        <v>Jun-2025</v>
      </c>
      <c r="G151" t="str">
        <f>IF(Account_Data[[#This Row],[Credit]]&gt;0,"Income","Expense")</f>
        <v>Expense</v>
      </c>
      <c r="H1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151" s="3">
        <f>Account_Data[[#This Row],[Credit]]-Account_Data[[#This Row],[Debit]]</f>
        <v>-100</v>
      </c>
      <c r="J151" s="7">
        <f>EOMONTH(Account_Data[[#This Row],[Date]],0)</f>
        <v>45838</v>
      </c>
      <c r="K151">
        <f>ABS(Account_Data[[#This Row],[Amount]])</f>
        <v>100</v>
      </c>
    </row>
    <row r="152" spans="1:11" x14ac:dyDescent="0.35">
      <c r="A152" s="73">
        <v>45827</v>
      </c>
      <c r="B152" t="s">
        <v>113</v>
      </c>
      <c r="D152" s="3">
        <v>450000</v>
      </c>
      <c r="E152" s="3">
        <v>453375.65</v>
      </c>
      <c r="F152" t="str">
        <f>TEXT(Account_Data[[#This Row],[Date]],"mmm-yyyy")</f>
        <v>Jun-2025</v>
      </c>
      <c r="G152" t="str">
        <f>IF(Account_Data[[#This Row],[Credit]]&gt;0,"Income","Expense")</f>
        <v>Income</v>
      </c>
      <c r="H1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Loan Taken</v>
      </c>
      <c r="I152" s="3">
        <f>Account_Data[[#This Row],[Credit]]-Account_Data[[#This Row],[Debit]]</f>
        <v>450000</v>
      </c>
      <c r="J152" s="7">
        <f>EOMONTH(Account_Data[[#This Row],[Date]],0)</f>
        <v>45838</v>
      </c>
      <c r="K152">
        <f>ABS(Account_Data[[#This Row],[Amount]])</f>
        <v>450000</v>
      </c>
    </row>
    <row r="153" spans="1:11" x14ac:dyDescent="0.35">
      <c r="A153" s="73">
        <v>45827</v>
      </c>
      <c r="B153" t="s">
        <v>177</v>
      </c>
      <c r="C153" s="3">
        <v>8800</v>
      </c>
      <c r="E153" s="3">
        <v>444575.65</v>
      </c>
      <c r="F153" t="str">
        <f>TEXT(Account_Data[[#This Row],[Date]],"mmm-yyyy")</f>
        <v>Jun-2025</v>
      </c>
      <c r="G153" t="str">
        <f>IF(Account_Data[[#This Row],[Credit]]&gt;0,"Income","Expense")</f>
        <v>Expense</v>
      </c>
      <c r="H1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53" s="3">
        <f>Account_Data[[#This Row],[Credit]]-Account_Data[[#This Row],[Debit]]</f>
        <v>-8800</v>
      </c>
      <c r="J153" s="7">
        <f>EOMONTH(Account_Data[[#This Row],[Date]],0)</f>
        <v>45838</v>
      </c>
      <c r="K153">
        <f>ABS(Account_Data[[#This Row],[Amount]])</f>
        <v>8800</v>
      </c>
    </row>
    <row r="154" spans="1:11" x14ac:dyDescent="0.35">
      <c r="A154" s="73">
        <v>45828</v>
      </c>
      <c r="B154" t="s">
        <v>91</v>
      </c>
      <c r="C154" s="3">
        <v>8704</v>
      </c>
      <c r="E154" s="3">
        <v>435871.65</v>
      </c>
      <c r="F154" t="str">
        <f>TEXT(Account_Data[[#This Row],[Date]],"mmm-yyyy")</f>
        <v>Jun-2025</v>
      </c>
      <c r="G154" t="str">
        <f>IF(Account_Data[[#This Row],[Credit]]&gt;0,"Income","Expense")</f>
        <v>Expense</v>
      </c>
      <c r="H1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54" s="3">
        <f>Account_Data[[#This Row],[Credit]]-Account_Data[[#This Row],[Debit]]</f>
        <v>-8704</v>
      </c>
      <c r="J154" s="7">
        <f>EOMONTH(Account_Data[[#This Row],[Date]],0)</f>
        <v>45838</v>
      </c>
      <c r="K154">
        <f>ABS(Account_Data[[#This Row],[Amount]])</f>
        <v>8704</v>
      </c>
    </row>
    <row r="155" spans="1:11" x14ac:dyDescent="0.35">
      <c r="A155" s="73">
        <v>45829</v>
      </c>
      <c r="B155" t="s">
        <v>203</v>
      </c>
      <c r="C155" s="3">
        <v>83296.679999999993</v>
      </c>
      <c r="E155" s="3">
        <v>352574.97</v>
      </c>
      <c r="F155" t="str">
        <f>TEXT(Account_Data[[#This Row],[Date]],"mmm-yyyy")</f>
        <v>Jun-2025</v>
      </c>
      <c r="G155" t="str">
        <f>IF(Account_Data[[#This Row],[Credit]]&gt;0,"Income","Expense")</f>
        <v>Expense</v>
      </c>
      <c r="H1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55" s="3">
        <f>Account_Data[[#This Row],[Credit]]-Account_Data[[#This Row],[Debit]]</f>
        <v>-83296.679999999993</v>
      </c>
      <c r="J155" s="7">
        <f>EOMONTH(Account_Data[[#This Row],[Date]],0)</f>
        <v>45838</v>
      </c>
      <c r="K155">
        <f>ABS(Account_Data[[#This Row],[Amount]])</f>
        <v>83296.679999999993</v>
      </c>
    </row>
    <row r="156" spans="1:11" x14ac:dyDescent="0.35">
      <c r="A156" s="73">
        <v>45830</v>
      </c>
      <c r="B156" t="s">
        <v>212</v>
      </c>
      <c r="C156" s="3">
        <v>5</v>
      </c>
      <c r="E156" s="3">
        <v>352569.97</v>
      </c>
      <c r="F156" t="str">
        <f>TEXT(Account_Data[[#This Row],[Date]],"mmm-yyyy")</f>
        <v>Jun-2025</v>
      </c>
      <c r="G156" t="str">
        <f>IF(Account_Data[[#This Row],[Credit]]&gt;0,"Income","Expense")</f>
        <v>Expense</v>
      </c>
      <c r="H1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56" s="3">
        <f>Account_Data[[#This Row],[Credit]]-Account_Data[[#This Row],[Debit]]</f>
        <v>-5</v>
      </c>
      <c r="J156" s="7">
        <f>EOMONTH(Account_Data[[#This Row],[Date]],0)</f>
        <v>45838</v>
      </c>
      <c r="K156">
        <f>ABS(Account_Data[[#This Row],[Amount]])</f>
        <v>5</v>
      </c>
    </row>
    <row r="157" spans="1:11" x14ac:dyDescent="0.35">
      <c r="A157" s="73">
        <v>45830</v>
      </c>
      <c r="B157" t="s">
        <v>212</v>
      </c>
      <c r="C157" s="3">
        <v>50000</v>
      </c>
      <c r="E157" s="3">
        <v>302569.96999999997</v>
      </c>
      <c r="F157" t="str">
        <f>TEXT(Account_Data[[#This Row],[Date]],"mmm-yyyy")</f>
        <v>Jun-2025</v>
      </c>
      <c r="G157" t="str">
        <f>IF(Account_Data[[#This Row],[Credit]]&gt;0,"Income","Expense")</f>
        <v>Expense</v>
      </c>
      <c r="H1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57" s="3">
        <f>Account_Data[[#This Row],[Credit]]-Account_Data[[#This Row],[Debit]]</f>
        <v>-50000</v>
      </c>
      <c r="J157" s="7">
        <f>EOMONTH(Account_Data[[#This Row],[Date]],0)</f>
        <v>45838</v>
      </c>
      <c r="K157">
        <f>ABS(Account_Data[[#This Row],[Amount]])</f>
        <v>50000</v>
      </c>
    </row>
    <row r="158" spans="1:11" x14ac:dyDescent="0.35">
      <c r="A158" s="73">
        <v>45830</v>
      </c>
      <c r="B158" t="s">
        <v>213</v>
      </c>
      <c r="C158" s="3">
        <v>5594</v>
      </c>
      <c r="E158" s="3">
        <v>296975.96999999997</v>
      </c>
      <c r="F158" t="str">
        <f>TEXT(Account_Data[[#This Row],[Date]],"mmm-yyyy")</f>
        <v>Jun-2025</v>
      </c>
      <c r="G158" t="str">
        <f>IF(Account_Data[[#This Row],[Credit]]&gt;0,"Income","Expense")</f>
        <v>Expense</v>
      </c>
      <c r="H1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58" s="3">
        <f>Account_Data[[#This Row],[Credit]]-Account_Data[[#This Row],[Debit]]</f>
        <v>-5594</v>
      </c>
      <c r="J158" s="7">
        <f>EOMONTH(Account_Data[[#This Row],[Date]],0)</f>
        <v>45838</v>
      </c>
      <c r="K158">
        <f>ABS(Account_Data[[#This Row],[Amount]])</f>
        <v>5594</v>
      </c>
    </row>
    <row r="159" spans="1:11" x14ac:dyDescent="0.35">
      <c r="A159" s="73">
        <v>45831</v>
      </c>
      <c r="B159" t="s">
        <v>171</v>
      </c>
      <c r="C159" s="3">
        <v>350</v>
      </c>
      <c r="E159" s="3">
        <v>296625.96999999997</v>
      </c>
      <c r="F159" t="str">
        <f>TEXT(Account_Data[[#This Row],[Date]],"mmm-yyyy")</f>
        <v>Jun-2025</v>
      </c>
      <c r="G159" t="str">
        <f>IF(Account_Data[[#This Row],[Credit]]&gt;0,"Income","Expense")</f>
        <v>Expense</v>
      </c>
      <c r="H1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59" s="3">
        <f>Account_Data[[#This Row],[Credit]]-Account_Data[[#This Row],[Debit]]</f>
        <v>-350</v>
      </c>
      <c r="J159" s="7">
        <f>EOMONTH(Account_Data[[#This Row],[Date]],0)</f>
        <v>45838</v>
      </c>
      <c r="K159">
        <f>ABS(Account_Data[[#This Row],[Amount]])</f>
        <v>350</v>
      </c>
    </row>
    <row r="160" spans="1:11" x14ac:dyDescent="0.35">
      <c r="A160" s="73">
        <v>45831</v>
      </c>
      <c r="B160" t="s">
        <v>212</v>
      </c>
      <c r="C160" s="3">
        <v>40000</v>
      </c>
      <c r="E160" s="3">
        <v>256625.97</v>
      </c>
      <c r="F160" t="str">
        <f>TEXT(Account_Data[[#This Row],[Date]],"mmm-yyyy")</f>
        <v>Jun-2025</v>
      </c>
      <c r="G160" t="str">
        <f>IF(Account_Data[[#This Row],[Credit]]&gt;0,"Income","Expense")</f>
        <v>Expense</v>
      </c>
      <c r="H1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0" s="3">
        <f>Account_Data[[#This Row],[Credit]]-Account_Data[[#This Row],[Debit]]</f>
        <v>-40000</v>
      </c>
      <c r="J160" s="7">
        <f>EOMONTH(Account_Data[[#This Row],[Date]],0)</f>
        <v>45838</v>
      </c>
      <c r="K160">
        <f>ABS(Account_Data[[#This Row],[Amount]])</f>
        <v>40000</v>
      </c>
    </row>
    <row r="161" spans="1:11" x14ac:dyDescent="0.35">
      <c r="A161" s="73">
        <v>45831</v>
      </c>
      <c r="B161" t="s">
        <v>214</v>
      </c>
      <c r="C161" s="3">
        <v>50000</v>
      </c>
      <c r="E161" s="3">
        <v>206625.97</v>
      </c>
      <c r="F161" t="str">
        <f>TEXT(Account_Data[[#This Row],[Date]],"mmm-yyyy")</f>
        <v>Jun-2025</v>
      </c>
      <c r="G161" t="str">
        <f>IF(Account_Data[[#This Row],[Credit]]&gt;0,"Income","Expense")</f>
        <v>Expense</v>
      </c>
      <c r="H1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161" s="3">
        <f>Account_Data[[#This Row],[Credit]]-Account_Data[[#This Row],[Debit]]</f>
        <v>-50000</v>
      </c>
      <c r="J161" s="7">
        <f>EOMONTH(Account_Data[[#This Row],[Date]],0)</f>
        <v>45838</v>
      </c>
      <c r="K161">
        <f>ABS(Account_Data[[#This Row],[Amount]])</f>
        <v>50000</v>
      </c>
    </row>
    <row r="162" spans="1:11" x14ac:dyDescent="0.35">
      <c r="A162" s="73">
        <v>45831</v>
      </c>
      <c r="B162" t="s">
        <v>215</v>
      </c>
      <c r="C162" s="3">
        <v>2000</v>
      </c>
      <c r="E162" s="3">
        <v>204625.97</v>
      </c>
      <c r="F162" t="str">
        <f>TEXT(Account_Data[[#This Row],[Date]],"mmm-yyyy")</f>
        <v>Jun-2025</v>
      </c>
      <c r="G162" t="str">
        <f>IF(Account_Data[[#This Row],[Credit]]&gt;0,"Income","Expense")</f>
        <v>Expense</v>
      </c>
      <c r="H1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2" s="3">
        <f>Account_Data[[#This Row],[Credit]]-Account_Data[[#This Row],[Debit]]</f>
        <v>-2000</v>
      </c>
      <c r="J162" s="7">
        <f>EOMONTH(Account_Data[[#This Row],[Date]],0)</f>
        <v>45838</v>
      </c>
      <c r="K162">
        <f>ABS(Account_Data[[#This Row],[Amount]])</f>
        <v>2000</v>
      </c>
    </row>
    <row r="163" spans="1:11" x14ac:dyDescent="0.35">
      <c r="A163" s="73">
        <v>45831</v>
      </c>
      <c r="B163" t="s">
        <v>114</v>
      </c>
      <c r="C163" s="3">
        <v>120000</v>
      </c>
      <c r="E163" s="3">
        <v>84625.97</v>
      </c>
      <c r="F163" t="str">
        <f>TEXT(Account_Data[[#This Row],[Date]],"mmm-yyyy")</f>
        <v>Jun-2025</v>
      </c>
      <c r="G163" t="str">
        <f>IF(Account_Data[[#This Row],[Credit]]&gt;0,"Income","Expense")</f>
        <v>Expense</v>
      </c>
      <c r="H1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63" s="3">
        <f>Account_Data[[#This Row],[Credit]]-Account_Data[[#This Row],[Debit]]</f>
        <v>-120000</v>
      </c>
      <c r="J163" s="7">
        <f>EOMONTH(Account_Data[[#This Row],[Date]],0)</f>
        <v>45838</v>
      </c>
      <c r="K163">
        <f>ABS(Account_Data[[#This Row],[Amount]])</f>
        <v>120000</v>
      </c>
    </row>
    <row r="164" spans="1:11" x14ac:dyDescent="0.35">
      <c r="A164" s="73">
        <v>45832</v>
      </c>
      <c r="B164" t="s">
        <v>191</v>
      </c>
      <c r="C164" s="3">
        <v>27962</v>
      </c>
      <c r="E164" s="3">
        <v>56663.97</v>
      </c>
      <c r="F164" t="str">
        <f>TEXT(Account_Data[[#This Row],[Date]],"mmm-yyyy")</f>
        <v>Jun-2025</v>
      </c>
      <c r="G164" t="str">
        <f>IF(Account_Data[[#This Row],[Credit]]&gt;0,"Income","Expense")</f>
        <v>Expense</v>
      </c>
      <c r="H1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4" s="3">
        <f>Account_Data[[#This Row],[Credit]]-Account_Data[[#This Row],[Debit]]</f>
        <v>-27962</v>
      </c>
      <c r="J164" s="7">
        <f>EOMONTH(Account_Data[[#This Row],[Date]],0)</f>
        <v>45838</v>
      </c>
      <c r="K164">
        <f>ABS(Account_Data[[#This Row],[Amount]])</f>
        <v>27962</v>
      </c>
    </row>
    <row r="165" spans="1:11" x14ac:dyDescent="0.35">
      <c r="A165" s="73">
        <v>45833</v>
      </c>
      <c r="B165" t="s">
        <v>216</v>
      </c>
      <c r="C165" s="3">
        <v>14500</v>
      </c>
      <c r="E165" s="3">
        <v>42163.97</v>
      </c>
      <c r="F165" t="str">
        <f>TEXT(Account_Data[[#This Row],[Date]],"mmm-yyyy")</f>
        <v>Jun-2025</v>
      </c>
      <c r="G165" t="str">
        <f>IF(Account_Data[[#This Row],[Credit]]&gt;0,"Income","Expense")</f>
        <v>Expense</v>
      </c>
      <c r="H1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5" s="3">
        <f>Account_Data[[#This Row],[Credit]]-Account_Data[[#This Row],[Debit]]</f>
        <v>-14500</v>
      </c>
      <c r="J165" s="7">
        <f>EOMONTH(Account_Data[[#This Row],[Date]],0)</f>
        <v>45838</v>
      </c>
      <c r="K165">
        <f>ABS(Account_Data[[#This Row],[Amount]])</f>
        <v>14500</v>
      </c>
    </row>
    <row r="166" spans="1:11" x14ac:dyDescent="0.35">
      <c r="A166" s="73">
        <v>45833</v>
      </c>
      <c r="B166" t="s">
        <v>217</v>
      </c>
      <c r="C166" s="3">
        <v>1110</v>
      </c>
      <c r="E166" s="3">
        <v>41053.97</v>
      </c>
      <c r="F166" t="str">
        <f>TEXT(Account_Data[[#This Row],[Date]],"mmm-yyyy")</f>
        <v>Jun-2025</v>
      </c>
      <c r="G166" t="str">
        <f>IF(Account_Data[[#This Row],[Credit]]&gt;0,"Income","Expense")</f>
        <v>Expense</v>
      </c>
      <c r="H1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6" s="3">
        <f>Account_Data[[#This Row],[Credit]]-Account_Data[[#This Row],[Debit]]</f>
        <v>-1110</v>
      </c>
      <c r="J166" s="7">
        <f>EOMONTH(Account_Data[[#This Row],[Date]],0)</f>
        <v>45838</v>
      </c>
      <c r="K166">
        <f>ABS(Account_Data[[#This Row],[Amount]])</f>
        <v>1110</v>
      </c>
    </row>
    <row r="167" spans="1:11" x14ac:dyDescent="0.35">
      <c r="A167" s="73">
        <v>45833</v>
      </c>
      <c r="B167" t="s">
        <v>218</v>
      </c>
      <c r="C167" s="3">
        <v>20000</v>
      </c>
      <c r="E167" s="3">
        <v>21053.97</v>
      </c>
      <c r="F167" t="str">
        <f>TEXT(Account_Data[[#This Row],[Date]],"mmm-yyyy")</f>
        <v>Jun-2025</v>
      </c>
      <c r="G167" t="str">
        <f>IF(Account_Data[[#This Row],[Credit]]&gt;0,"Income","Expense")</f>
        <v>Expense</v>
      </c>
      <c r="H1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7" s="3">
        <f>Account_Data[[#This Row],[Credit]]-Account_Data[[#This Row],[Debit]]</f>
        <v>-20000</v>
      </c>
      <c r="J167" s="7">
        <f>EOMONTH(Account_Data[[#This Row],[Date]],0)</f>
        <v>45838</v>
      </c>
      <c r="K167">
        <f>ABS(Account_Data[[#This Row],[Amount]])</f>
        <v>20000</v>
      </c>
    </row>
    <row r="168" spans="1:11" x14ac:dyDescent="0.35">
      <c r="A168" s="73">
        <v>45833</v>
      </c>
      <c r="B168" t="s">
        <v>177</v>
      </c>
      <c r="C168" s="3">
        <v>4000</v>
      </c>
      <c r="E168" s="3">
        <v>17053.97</v>
      </c>
      <c r="F168" t="str">
        <f>TEXT(Account_Data[[#This Row],[Date]],"mmm-yyyy")</f>
        <v>Jun-2025</v>
      </c>
      <c r="G168" t="str">
        <f>IF(Account_Data[[#This Row],[Credit]]&gt;0,"Income","Expense")</f>
        <v>Expense</v>
      </c>
      <c r="H1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68" s="3">
        <f>Account_Data[[#This Row],[Credit]]-Account_Data[[#This Row],[Debit]]</f>
        <v>-4000</v>
      </c>
      <c r="J168" s="7">
        <f>EOMONTH(Account_Data[[#This Row],[Date]],0)</f>
        <v>45838</v>
      </c>
      <c r="K168">
        <f>ABS(Account_Data[[#This Row],[Amount]])</f>
        <v>4000</v>
      </c>
    </row>
    <row r="169" spans="1:11" x14ac:dyDescent="0.35">
      <c r="A169" s="73">
        <v>45833</v>
      </c>
      <c r="B169" t="s">
        <v>115</v>
      </c>
      <c r="D169" s="3">
        <v>366</v>
      </c>
      <c r="E169" s="3">
        <v>17419.97</v>
      </c>
      <c r="F169" t="str">
        <f>TEXT(Account_Data[[#This Row],[Date]],"mmm-yyyy")</f>
        <v>Jun-2025</v>
      </c>
      <c r="G169" t="str">
        <f>IF(Account_Data[[#This Row],[Credit]]&gt;0,"Income","Expense")</f>
        <v>Income</v>
      </c>
      <c r="H1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69" s="3">
        <f>Account_Data[[#This Row],[Credit]]-Account_Data[[#This Row],[Debit]]</f>
        <v>366</v>
      </c>
      <c r="J169" s="7">
        <f>EOMONTH(Account_Data[[#This Row],[Date]],0)</f>
        <v>45838</v>
      </c>
      <c r="K169">
        <f>ABS(Account_Data[[#This Row],[Amount]])</f>
        <v>366</v>
      </c>
    </row>
    <row r="170" spans="1:11" x14ac:dyDescent="0.35">
      <c r="A170" s="73">
        <v>45835</v>
      </c>
      <c r="B170" t="s">
        <v>488</v>
      </c>
      <c r="D170" s="3">
        <v>112936</v>
      </c>
      <c r="E170" s="3">
        <v>130355.97</v>
      </c>
      <c r="F170" t="str">
        <f>TEXT(Account_Data[[#This Row],[Date]],"mmm-yyyy")</f>
        <v>Jun-2025</v>
      </c>
      <c r="G170" t="str">
        <f>IF(Account_Data[[#This Row],[Credit]]&gt;0,"Income","Expense")</f>
        <v>Income</v>
      </c>
      <c r="H1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170" s="3">
        <f>Account_Data[[#This Row],[Credit]]-Account_Data[[#This Row],[Debit]]</f>
        <v>112936</v>
      </c>
      <c r="J170" s="7">
        <f>EOMONTH(Account_Data[[#This Row],[Date]],0)</f>
        <v>45838</v>
      </c>
      <c r="K170">
        <f>ABS(Account_Data[[#This Row],[Amount]])</f>
        <v>112936</v>
      </c>
    </row>
    <row r="171" spans="1:11" x14ac:dyDescent="0.35">
      <c r="A171" s="73">
        <v>45836</v>
      </c>
      <c r="B171" t="s">
        <v>219</v>
      </c>
      <c r="C171" s="3">
        <v>500</v>
      </c>
      <c r="E171" s="3">
        <v>129855.97</v>
      </c>
      <c r="F171" t="str">
        <f>TEXT(Account_Data[[#This Row],[Date]],"mmm-yyyy")</f>
        <v>Jun-2025</v>
      </c>
      <c r="G171" t="str">
        <f>IF(Account_Data[[#This Row],[Credit]]&gt;0,"Income","Expense")</f>
        <v>Expense</v>
      </c>
      <c r="H1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1" s="3">
        <f>Account_Data[[#This Row],[Credit]]-Account_Data[[#This Row],[Debit]]</f>
        <v>-500</v>
      </c>
      <c r="J171" s="7">
        <f>EOMONTH(Account_Data[[#This Row],[Date]],0)</f>
        <v>45838</v>
      </c>
      <c r="K171">
        <f>ABS(Account_Data[[#This Row],[Amount]])</f>
        <v>500</v>
      </c>
    </row>
    <row r="172" spans="1:11" x14ac:dyDescent="0.35">
      <c r="A172" s="73">
        <v>45837</v>
      </c>
      <c r="B172" t="s">
        <v>191</v>
      </c>
      <c r="C172" s="3">
        <v>5000</v>
      </c>
      <c r="E172" s="3">
        <v>124855.97</v>
      </c>
      <c r="F172" t="str">
        <f>TEXT(Account_Data[[#This Row],[Date]],"mmm-yyyy")</f>
        <v>Jun-2025</v>
      </c>
      <c r="G172" t="str">
        <f>IF(Account_Data[[#This Row],[Credit]]&gt;0,"Income","Expense")</f>
        <v>Expense</v>
      </c>
      <c r="H1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2" s="3">
        <f>Account_Data[[#This Row],[Credit]]-Account_Data[[#This Row],[Debit]]</f>
        <v>-5000</v>
      </c>
      <c r="J172" s="7">
        <f>EOMONTH(Account_Data[[#This Row],[Date]],0)</f>
        <v>45838</v>
      </c>
      <c r="K172">
        <f>ABS(Account_Data[[#This Row],[Amount]])</f>
        <v>5000</v>
      </c>
    </row>
    <row r="173" spans="1:11" x14ac:dyDescent="0.35">
      <c r="A173" s="73">
        <v>45837</v>
      </c>
      <c r="B173" t="s">
        <v>220</v>
      </c>
      <c r="C173" s="3">
        <v>1103</v>
      </c>
      <c r="E173" s="3">
        <v>123752.97</v>
      </c>
      <c r="F173" t="str">
        <f>TEXT(Account_Data[[#This Row],[Date]],"mmm-yyyy")</f>
        <v>Jun-2025</v>
      </c>
      <c r="G173" t="str">
        <f>IF(Account_Data[[#This Row],[Credit]]&gt;0,"Income","Expense")</f>
        <v>Expense</v>
      </c>
      <c r="H1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3" s="3">
        <f>Account_Data[[#This Row],[Credit]]-Account_Data[[#This Row],[Debit]]</f>
        <v>-1103</v>
      </c>
      <c r="J173" s="7">
        <f>EOMONTH(Account_Data[[#This Row],[Date]],0)</f>
        <v>45838</v>
      </c>
      <c r="K173">
        <f>ABS(Account_Data[[#This Row],[Amount]])</f>
        <v>1103</v>
      </c>
    </row>
    <row r="174" spans="1:11" x14ac:dyDescent="0.35">
      <c r="A174" s="73">
        <v>45837</v>
      </c>
      <c r="B174" t="s">
        <v>221</v>
      </c>
      <c r="C174" s="3">
        <v>796</v>
      </c>
      <c r="E174" s="3">
        <v>122956.97</v>
      </c>
      <c r="F174" t="str">
        <f>TEXT(Account_Data[[#This Row],[Date]],"mmm-yyyy")</f>
        <v>Jun-2025</v>
      </c>
      <c r="G174" t="str">
        <f>IF(Account_Data[[#This Row],[Credit]]&gt;0,"Income","Expense")</f>
        <v>Expense</v>
      </c>
      <c r="H1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4" s="3">
        <f>Account_Data[[#This Row],[Credit]]-Account_Data[[#This Row],[Debit]]</f>
        <v>-796</v>
      </c>
      <c r="J174" s="7">
        <f>EOMONTH(Account_Data[[#This Row],[Date]],0)</f>
        <v>45838</v>
      </c>
      <c r="K174">
        <f>ABS(Account_Data[[#This Row],[Amount]])</f>
        <v>796</v>
      </c>
    </row>
    <row r="175" spans="1:11" x14ac:dyDescent="0.35">
      <c r="A175" s="73">
        <v>45837</v>
      </c>
      <c r="B175" t="s">
        <v>222</v>
      </c>
      <c r="C175" s="3">
        <v>350</v>
      </c>
      <c r="E175" s="3">
        <v>122606.97</v>
      </c>
      <c r="F175" t="str">
        <f>TEXT(Account_Data[[#This Row],[Date]],"mmm-yyyy")</f>
        <v>Jun-2025</v>
      </c>
      <c r="G175" t="str">
        <f>IF(Account_Data[[#This Row],[Credit]]&gt;0,"Income","Expense")</f>
        <v>Expense</v>
      </c>
      <c r="H1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5" s="3">
        <f>Account_Data[[#This Row],[Credit]]-Account_Data[[#This Row],[Debit]]</f>
        <v>-350</v>
      </c>
      <c r="J175" s="7">
        <f>EOMONTH(Account_Data[[#This Row],[Date]],0)</f>
        <v>45838</v>
      </c>
      <c r="K175">
        <f>ABS(Account_Data[[#This Row],[Amount]])</f>
        <v>350</v>
      </c>
    </row>
    <row r="176" spans="1:11" x14ac:dyDescent="0.35">
      <c r="A176" s="73">
        <v>45837</v>
      </c>
      <c r="B176" t="s">
        <v>223</v>
      </c>
      <c r="C176" s="3">
        <v>155</v>
      </c>
      <c r="E176" s="3">
        <v>122451.97</v>
      </c>
      <c r="F176" t="str">
        <f>TEXT(Account_Data[[#This Row],[Date]],"mmm-yyyy")</f>
        <v>Jun-2025</v>
      </c>
      <c r="G176" t="str">
        <f>IF(Account_Data[[#This Row],[Credit]]&gt;0,"Income","Expense")</f>
        <v>Expense</v>
      </c>
      <c r="H1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6" s="3">
        <f>Account_Data[[#This Row],[Credit]]-Account_Data[[#This Row],[Debit]]</f>
        <v>-155</v>
      </c>
      <c r="J176" s="7">
        <f>EOMONTH(Account_Data[[#This Row],[Date]],0)</f>
        <v>45838</v>
      </c>
      <c r="K176">
        <f>ABS(Account_Data[[#This Row],[Amount]])</f>
        <v>155</v>
      </c>
    </row>
    <row r="177" spans="1:11" x14ac:dyDescent="0.35">
      <c r="A177" s="73">
        <v>45837</v>
      </c>
      <c r="B177" t="s">
        <v>224</v>
      </c>
      <c r="C177" s="3">
        <v>50</v>
      </c>
      <c r="E177" s="3">
        <v>122401.97</v>
      </c>
      <c r="F177" t="str">
        <f>TEXT(Account_Data[[#This Row],[Date]],"mmm-yyyy")</f>
        <v>Jun-2025</v>
      </c>
      <c r="G177" t="str">
        <f>IF(Account_Data[[#This Row],[Credit]]&gt;0,"Income","Expense")</f>
        <v>Expense</v>
      </c>
      <c r="H1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7" s="3">
        <f>Account_Data[[#This Row],[Credit]]-Account_Data[[#This Row],[Debit]]</f>
        <v>-50</v>
      </c>
      <c r="J177" s="7">
        <f>EOMONTH(Account_Data[[#This Row],[Date]],0)</f>
        <v>45838</v>
      </c>
      <c r="K177">
        <f>ABS(Account_Data[[#This Row],[Amount]])</f>
        <v>50</v>
      </c>
    </row>
    <row r="178" spans="1:11" x14ac:dyDescent="0.35">
      <c r="A178" s="73">
        <v>45838</v>
      </c>
      <c r="B178" t="s">
        <v>225</v>
      </c>
      <c r="C178" s="3">
        <v>808</v>
      </c>
      <c r="E178" s="3">
        <v>121593.97</v>
      </c>
      <c r="F178" t="str">
        <f>TEXT(Account_Data[[#This Row],[Date]],"mmm-yyyy")</f>
        <v>Jun-2025</v>
      </c>
      <c r="G178" t="str">
        <f>IF(Account_Data[[#This Row],[Credit]]&gt;0,"Income","Expense")</f>
        <v>Expense</v>
      </c>
      <c r="H1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78" s="3">
        <f>Account_Data[[#This Row],[Credit]]-Account_Data[[#This Row],[Debit]]</f>
        <v>-808</v>
      </c>
      <c r="J178" s="7">
        <f>EOMONTH(Account_Data[[#This Row],[Date]],0)</f>
        <v>45838</v>
      </c>
      <c r="K178">
        <f>ABS(Account_Data[[#This Row],[Amount]])</f>
        <v>808</v>
      </c>
    </row>
    <row r="179" spans="1:11" x14ac:dyDescent="0.35">
      <c r="A179" s="73">
        <v>45838</v>
      </c>
      <c r="B179" t="s">
        <v>99</v>
      </c>
      <c r="C179" s="3">
        <v>1000</v>
      </c>
      <c r="E179" s="3">
        <v>120593.97</v>
      </c>
      <c r="F179" t="str">
        <f>TEXT(Account_Data[[#This Row],[Date]],"mmm-yyyy")</f>
        <v>Jun-2025</v>
      </c>
      <c r="G179" t="str">
        <f>IF(Account_Data[[#This Row],[Credit]]&gt;0,"Income","Expense")</f>
        <v>Expense</v>
      </c>
      <c r="H1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179" s="3">
        <f>Account_Data[[#This Row],[Credit]]-Account_Data[[#This Row],[Debit]]</f>
        <v>-1000</v>
      </c>
      <c r="J179" s="7">
        <f>EOMONTH(Account_Data[[#This Row],[Date]],0)</f>
        <v>45838</v>
      </c>
      <c r="K179">
        <f>ABS(Account_Data[[#This Row],[Amount]])</f>
        <v>1000</v>
      </c>
    </row>
    <row r="180" spans="1:11" x14ac:dyDescent="0.35">
      <c r="A180" s="73">
        <v>45838</v>
      </c>
      <c r="B180" t="s">
        <v>226</v>
      </c>
      <c r="C180" s="3">
        <v>1600</v>
      </c>
      <c r="E180" s="3">
        <v>118993.97</v>
      </c>
      <c r="F180" t="str">
        <f>TEXT(Account_Data[[#This Row],[Date]],"mmm-yyyy")</f>
        <v>Jun-2025</v>
      </c>
      <c r="G180" t="str">
        <f>IF(Account_Data[[#This Row],[Credit]]&gt;0,"Income","Expense")</f>
        <v>Expense</v>
      </c>
      <c r="H1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80" s="3">
        <f>Account_Data[[#This Row],[Credit]]-Account_Data[[#This Row],[Debit]]</f>
        <v>-1600</v>
      </c>
      <c r="J180" s="7">
        <f>EOMONTH(Account_Data[[#This Row],[Date]],0)</f>
        <v>45838</v>
      </c>
      <c r="K180">
        <f>ABS(Account_Data[[#This Row],[Amount]])</f>
        <v>1600</v>
      </c>
    </row>
    <row r="181" spans="1:11" x14ac:dyDescent="0.35">
      <c r="A181" s="73">
        <v>45838</v>
      </c>
      <c r="B181" t="s">
        <v>227</v>
      </c>
      <c r="C181" s="3">
        <v>620</v>
      </c>
      <c r="E181" s="3">
        <v>118373.97</v>
      </c>
      <c r="F181" t="str">
        <f>TEXT(Account_Data[[#This Row],[Date]],"mmm-yyyy")</f>
        <v>Jun-2025</v>
      </c>
      <c r="G181" t="str">
        <f>IF(Account_Data[[#This Row],[Credit]]&gt;0,"Income","Expense")</f>
        <v>Expense</v>
      </c>
      <c r="H1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81" s="3">
        <f>Account_Data[[#This Row],[Credit]]-Account_Data[[#This Row],[Debit]]</f>
        <v>-620</v>
      </c>
      <c r="J181" s="7">
        <f>EOMONTH(Account_Data[[#This Row],[Date]],0)</f>
        <v>45838</v>
      </c>
      <c r="K181">
        <f>ABS(Account_Data[[#This Row],[Amount]])</f>
        <v>620</v>
      </c>
    </row>
    <row r="182" spans="1:11" x14ac:dyDescent="0.35">
      <c r="A182" s="73">
        <v>45838</v>
      </c>
      <c r="B182" t="s">
        <v>228</v>
      </c>
      <c r="C182" s="3">
        <v>90</v>
      </c>
      <c r="E182" s="3">
        <v>118283.97</v>
      </c>
      <c r="F182" t="str">
        <f>TEXT(Account_Data[[#This Row],[Date]],"mmm-yyyy")</f>
        <v>Jun-2025</v>
      </c>
      <c r="G182" t="str">
        <f>IF(Account_Data[[#This Row],[Credit]]&gt;0,"Income","Expense")</f>
        <v>Expense</v>
      </c>
      <c r="H1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82" s="3">
        <f>Account_Data[[#This Row],[Credit]]-Account_Data[[#This Row],[Debit]]</f>
        <v>-90</v>
      </c>
      <c r="J182" s="7">
        <f>EOMONTH(Account_Data[[#This Row],[Date]],0)</f>
        <v>45838</v>
      </c>
      <c r="K182">
        <f>ABS(Account_Data[[#This Row],[Amount]])</f>
        <v>90</v>
      </c>
    </row>
    <row r="183" spans="1:11" x14ac:dyDescent="0.35">
      <c r="A183" s="73">
        <v>45838</v>
      </c>
      <c r="B183" t="s">
        <v>227</v>
      </c>
      <c r="C183" s="3">
        <v>60</v>
      </c>
      <c r="E183" s="3">
        <v>118223.97</v>
      </c>
      <c r="F183" t="str">
        <f>TEXT(Account_Data[[#This Row],[Date]],"mmm-yyyy")</f>
        <v>Jun-2025</v>
      </c>
      <c r="G183" t="str">
        <f>IF(Account_Data[[#This Row],[Credit]]&gt;0,"Income","Expense")</f>
        <v>Expense</v>
      </c>
      <c r="H1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83" s="3">
        <f>Account_Data[[#This Row],[Credit]]-Account_Data[[#This Row],[Debit]]</f>
        <v>-60</v>
      </c>
      <c r="J183" s="7">
        <f>EOMONTH(Account_Data[[#This Row],[Date]],0)</f>
        <v>45838</v>
      </c>
      <c r="K183">
        <f>ABS(Account_Data[[#This Row],[Amount]])</f>
        <v>60</v>
      </c>
    </row>
    <row r="184" spans="1:11" x14ac:dyDescent="0.35">
      <c r="A184" s="73">
        <v>45839</v>
      </c>
      <c r="B184" t="s">
        <v>89</v>
      </c>
      <c r="C184" s="3">
        <v>3000</v>
      </c>
      <c r="E184" s="3">
        <v>115223.97</v>
      </c>
      <c r="F184" t="str">
        <f>TEXT(Account_Data[[#This Row],[Date]],"mmm-yyyy")</f>
        <v>Jul-2025</v>
      </c>
      <c r="G184" t="str">
        <f>IF(Account_Data[[#This Row],[Credit]]&gt;0,"Income","Expense")</f>
        <v>Expense</v>
      </c>
      <c r="H1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84" s="3">
        <f>Account_Data[[#This Row],[Credit]]-Account_Data[[#This Row],[Debit]]</f>
        <v>-3000</v>
      </c>
      <c r="J184" s="7">
        <f>EOMONTH(Account_Data[[#This Row],[Date]],0)</f>
        <v>45869</v>
      </c>
      <c r="K184">
        <f>ABS(Account_Data[[#This Row],[Amount]])</f>
        <v>3000</v>
      </c>
    </row>
    <row r="185" spans="1:11" x14ac:dyDescent="0.35">
      <c r="A185" s="73">
        <v>45839</v>
      </c>
      <c r="B185" t="s">
        <v>89</v>
      </c>
      <c r="C185" s="3">
        <v>2000</v>
      </c>
      <c r="E185" s="3">
        <v>113223.97</v>
      </c>
      <c r="F185" t="str">
        <f>TEXT(Account_Data[[#This Row],[Date]],"mmm-yyyy")</f>
        <v>Jul-2025</v>
      </c>
      <c r="G185" t="str">
        <f>IF(Account_Data[[#This Row],[Credit]]&gt;0,"Income","Expense")</f>
        <v>Expense</v>
      </c>
      <c r="H1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85" s="3">
        <f>Account_Data[[#This Row],[Credit]]-Account_Data[[#This Row],[Debit]]</f>
        <v>-2000</v>
      </c>
      <c r="J185" s="7">
        <f>EOMONTH(Account_Data[[#This Row],[Date]],0)</f>
        <v>45869</v>
      </c>
      <c r="K185">
        <f>ABS(Account_Data[[#This Row],[Amount]])</f>
        <v>2000</v>
      </c>
    </row>
    <row r="186" spans="1:11" x14ac:dyDescent="0.35">
      <c r="A186" s="73">
        <v>45839</v>
      </c>
      <c r="B186" t="s">
        <v>89</v>
      </c>
      <c r="C186" s="3">
        <v>5000</v>
      </c>
      <c r="E186" s="3">
        <v>108223.97</v>
      </c>
      <c r="F186" t="str">
        <f>TEXT(Account_Data[[#This Row],[Date]],"mmm-yyyy")</f>
        <v>Jul-2025</v>
      </c>
      <c r="G186" t="str">
        <f>IF(Account_Data[[#This Row],[Credit]]&gt;0,"Income","Expense")</f>
        <v>Expense</v>
      </c>
      <c r="H1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86" s="3">
        <f>Account_Data[[#This Row],[Credit]]-Account_Data[[#This Row],[Debit]]</f>
        <v>-5000</v>
      </c>
      <c r="J186" s="7">
        <f>EOMONTH(Account_Data[[#This Row],[Date]],0)</f>
        <v>45869</v>
      </c>
      <c r="K186">
        <f>ABS(Account_Data[[#This Row],[Amount]])</f>
        <v>5000</v>
      </c>
    </row>
    <row r="187" spans="1:11" x14ac:dyDescent="0.35">
      <c r="A187" s="73">
        <v>45839</v>
      </c>
      <c r="B187" t="s">
        <v>89</v>
      </c>
      <c r="C187" s="3">
        <v>2000</v>
      </c>
      <c r="E187" s="3">
        <v>106223.97</v>
      </c>
      <c r="F187" t="str">
        <f>TEXT(Account_Data[[#This Row],[Date]],"mmm-yyyy")</f>
        <v>Jul-2025</v>
      </c>
      <c r="G187" t="str">
        <f>IF(Account_Data[[#This Row],[Credit]]&gt;0,"Income","Expense")</f>
        <v>Expense</v>
      </c>
      <c r="H1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87" s="3">
        <f>Account_Data[[#This Row],[Credit]]-Account_Data[[#This Row],[Debit]]</f>
        <v>-2000</v>
      </c>
      <c r="J187" s="7">
        <f>EOMONTH(Account_Data[[#This Row],[Date]],0)</f>
        <v>45869</v>
      </c>
      <c r="K187">
        <f>ABS(Account_Data[[#This Row],[Amount]])</f>
        <v>2000</v>
      </c>
    </row>
    <row r="188" spans="1:11" x14ac:dyDescent="0.35">
      <c r="A188" s="73">
        <v>45839</v>
      </c>
      <c r="B188" t="s">
        <v>89</v>
      </c>
      <c r="C188" s="3">
        <v>2000</v>
      </c>
      <c r="E188" s="3">
        <v>104223.97</v>
      </c>
      <c r="F188" t="str">
        <f>TEXT(Account_Data[[#This Row],[Date]],"mmm-yyyy")</f>
        <v>Jul-2025</v>
      </c>
      <c r="G188" t="str">
        <f>IF(Account_Data[[#This Row],[Credit]]&gt;0,"Income","Expense")</f>
        <v>Expense</v>
      </c>
      <c r="H1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88" s="3">
        <f>Account_Data[[#This Row],[Credit]]-Account_Data[[#This Row],[Debit]]</f>
        <v>-2000</v>
      </c>
      <c r="J188" s="7">
        <f>EOMONTH(Account_Data[[#This Row],[Date]],0)</f>
        <v>45869</v>
      </c>
      <c r="K188">
        <f>ABS(Account_Data[[#This Row],[Amount]])</f>
        <v>2000</v>
      </c>
    </row>
    <row r="189" spans="1:11" x14ac:dyDescent="0.35">
      <c r="A189" s="73">
        <v>45839</v>
      </c>
      <c r="B189" t="s">
        <v>89</v>
      </c>
      <c r="C189" s="3">
        <v>5000</v>
      </c>
      <c r="E189" s="3">
        <v>99223.97</v>
      </c>
      <c r="F189" t="str">
        <f>TEXT(Account_Data[[#This Row],[Date]],"mmm-yyyy")</f>
        <v>Jul-2025</v>
      </c>
      <c r="G189" t="str">
        <f>IF(Account_Data[[#This Row],[Credit]]&gt;0,"Income","Expense")</f>
        <v>Expense</v>
      </c>
      <c r="H1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89" s="3">
        <f>Account_Data[[#This Row],[Credit]]-Account_Data[[#This Row],[Debit]]</f>
        <v>-5000</v>
      </c>
      <c r="J189" s="7">
        <f>EOMONTH(Account_Data[[#This Row],[Date]],0)</f>
        <v>45869</v>
      </c>
      <c r="K189">
        <f>ABS(Account_Data[[#This Row],[Amount]])</f>
        <v>5000</v>
      </c>
    </row>
    <row r="190" spans="1:11" x14ac:dyDescent="0.35">
      <c r="A190" s="73">
        <v>45839</v>
      </c>
      <c r="B190" t="s">
        <v>90</v>
      </c>
      <c r="C190" s="3">
        <v>1000</v>
      </c>
      <c r="E190" s="3">
        <v>98223.97</v>
      </c>
      <c r="F190" t="str">
        <f>TEXT(Account_Data[[#This Row],[Date]],"mmm-yyyy")</f>
        <v>Jul-2025</v>
      </c>
      <c r="G190" t="str">
        <f>IF(Account_Data[[#This Row],[Credit]]&gt;0,"Income","Expense")</f>
        <v>Expense</v>
      </c>
      <c r="H1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190" s="3">
        <f>Account_Data[[#This Row],[Credit]]-Account_Data[[#This Row],[Debit]]</f>
        <v>-1000</v>
      </c>
      <c r="J190" s="7">
        <f>EOMONTH(Account_Data[[#This Row],[Date]],0)</f>
        <v>45869</v>
      </c>
      <c r="K190">
        <f>ABS(Account_Data[[#This Row],[Amount]])</f>
        <v>1000</v>
      </c>
    </row>
    <row r="191" spans="1:11" x14ac:dyDescent="0.35">
      <c r="A191" s="73">
        <v>45839</v>
      </c>
      <c r="B191" t="s">
        <v>191</v>
      </c>
      <c r="C191" s="3">
        <v>1500</v>
      </c>
      <c r="E191" s="3">
        <v>96723.97</v>
      </c>
      <c r="F191" t="str">
        <f>TEXT(Account_Data[[#This Row],[Date]],"mmm-yyyy")</f>
        <v>Jul-2025</v>
      </c>
      <c r="G191" t="str">
        <f>IF(Account_Data[[#This Row],[Credit]]&gt;0,"Income","Expense")</f>
        <v>Expense</v>
      </c>
      <c r="H1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91" s="3">
        <f>Account_Data[[#This Row],[Credit]]-Account_Data[[#This Row],[Debit]]</f>
        <v>-1500</v>
      </c>
      <c r="J191" s="7">
        <f>EOMONTH(Account_Data[[#This Row],[Date]],0)</f>
        <v>45869</v>
      </c>
      <c r="K191">
        <f>ABS(Account_Data[[#This Row],[Amount]])</f>
        <v>1500</v>
      </c>
    </row>
    <row r="192" spans="1:11" x14ac:dyDescent="0.35">
      <c r="A192" s="73">
        <v>45839</v>
      </c>
      <c r="B192" t="s">
        <v>110</v>
      </c>
      <c r="C192" s="3">
        <v>16124</v>
      </c>
      <c r="E192" s="3">
        <v>80599.97</v>
      </c>
      <c r="F192" t="str">
        <f>TEXT(Account_Data[[#This Row],[Date]],"mmm-yyyy")</f>
        <v>Jul-2025</v>
      </c>
      <c r="G192" t="str">
        <f>IF(Account_Data[[#This Row],[Credit]]&gt;0,"Income","Expense")</f>
        <v>Expense</v>
      </c>
      <c r="H1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92" s="3">
        <f>Account_Data[[#This Row],[Credit]]-Account_Data[[#This Row],[Debit]]</f>
        <v>-16124</v>
      </c>
      <c r="J192" s="7">
        <f>EOMONTH(Account_Data[[#This Row],[Date]],0)</f>
        <v>45869</v>
      </c>
      <c r="K192">
        <f>ABS(Account_Data[[#This Row],[Amount]])</f>
        <v>16124</v>
      </c>
    </row>
    <row r="193" spans="1:11" x14ac:dyDescent="0.35">
      <c r="A193" s="73">
        <v>45840</v>
      </c>
      <c r="B193" t="s">
        <v>91</v>
      </c>
      <c r="C193" s="3">
        <v>7717</v>
      </c>
      <c r="E193" s="3">
        <v>72882.97</v>
      </c>
      <c r="F193" t="str">
        <f>TEXT(Account_Data[[#This Row],[Date]],"mmm-yyyy")</f>
        <v>Jul-2025</v>
      </c>
      <c r="G193" t="str">
        <f>IF(Account_Data[[#This Row],[Credit]]&gt;0,"Income","Expense")</f>
        <v>Expense</v>
      </c>
      <c r="H1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93" s="3">
        <f>Account_Data[[#This Row],[Credit]]-Account_Data[[#This Row],[Debit]]</f>
        <v>-7717</v>
      </c>
      <c r="J193" s="7">
        <f>EOMONTH(Account_Data[[#This Row],[Date]],0)</f>
        <v>45869</v>
      </c>
      <c r="K193">
        <f>ABS(Account_Data[[#This Row],[Amount]])</f>
        <v>7717</v>
      </c>
    </row>
    <row r="194" spans="1:11" x14ac:dyDescent="0.35">
      <c r="A194" s="73">
        <v>45840</v>
      </c>
      <c r="B194" t="s">
        <v>91</v>
      </c>
      <c r="C194" s="3">
        <v>8704</v>
      </c>
      <c r="E194" s="3">
        <v>64178.97</v>
      </c>
      <c r="F194" t="str">
        <f>TEXT(Account_Data[[#This Row],[Date]],"mmm-yyyy")</f>
        <v>Jul-2025</v>
      </c>
      <c r="G194" t="str">
        <f>IF(Account_Data[[#This Row],[Credit]]&gt;0,"Income","Expense")</f>
        <v>Expense</v>
      </c>
      <c r="H1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194" s="3">
        <f>Account_Data[[#This Row],[Credit]]-Account_Data[[#This Row],[Debit]]</f>
        <v>-8704</v>
      </c>
      <c r="J194" s="7">
        <f>EOMONTH(Account_Data[[#This Row],[Date]],0)</f>
        <v>45869</v>
      </c>
      <c r="K194">
        <f>ABS(Account_Data[[#This Row],[Amount]])</f>
        <v>8704</v>
      </c>
    </row>
    <row r="195" spans="1:11" x14ac:dyDescent="0.35">
      <c r="A195" s="73">
        <v>45840</v>
      </c>
      <c r="B195" t="s">
        <v>227</v>
      </c>
      <c r="C195" s="3">
        <v>335</v>
      </c>
      <c r="E195" s="3">
        <v>63843.97</v>
      </c>
      <c r="F195" t="str">
        <f>TEXT(Account_Data[[#This Row],[Date]],"mmm-yyyy")</f>
        <v>Jul-2025</v>
      </c>
      <c r="G195" t="str">
        <f>IF(Account_Data[[#This Row],[Credit]]&gt;0,"Income","Expense")</f>
        <v>Expense</v>
      </c>
      <c r="H1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95" s="3">
        <f>Account_Data[[#This Row],[Credit]]-Account_Data[[#This Row],[Debit]]</f>
        <v>-335</v>
      </c>
      <c r="J195" s="7">
        <f>EOMONTH(Account_Data[[#This Row],[Date]],0)</f>
        <v>45869</v>
      </c>
      <c r="K195">
        <f>ABS(Account_Data[[#This Row],[Amount]])</f>
        <v>335</v>
      </c>
    </row>
    <row r="196" spans="1:11" x14ac:dyDescent="0.35">
      <c r="A196" s="73">
        <v>45840</v>
      </c>
      <c r="B196" t="s">
        <v>90</v>
      </c>
      <c r="C196" s="3">
        <v>1500</v>
      </c>
      <c r="E196" s="3">
        <v>62343.97</v>
      </c>
      <c r="F196" t="str">
        <f>TEXT(Account_Data[[#This Row],[Date]],"mmm-yyyy")</f>
        <v>Jul-2025</v>
      </c>
      <c r="G196" t="str">
        <f>IF(Account_Data[[#This Row],[Credit]]&gt;0,"Income","Expense")</f>
        <v>Expense</v>
      </c>
      <c r="H1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196" s="3">
        <f>Account_Data[[#This Row],[Credit]]-Account_Data[[#This Row],[Debit]]</f>
        <v>-1500</v>
      </c>
      <c r="J196" s="7">
        <f>EOMONTH(Account_Data[[#This Row],[Date]],0)</f>
        <v>45869</v>
      </c>
      <c r="K196">
        <f>ABS(Account_Data[[#This Row],[Amount]])</f>
        <v>1500</v>
      </c>
    </row>
    <row r="197" spans="1:11" x14ac:dyDescent="0.35">
      <c r="A197" s="73">
        <v>45840</v>
      </c>
      <c r="B197" t="s">
        <v>228</v>
      </c>
      <c r="C197" s="3">
        <v>1080</v>
      </c>
      <c r="E197" s="3">
        <v>61263.97</v>
      </c>
      <c r="F197" t="str">
        <f>TEXT(Account_Data[[#This Row],[Date]],"mmm-yyyy")</f>
        <v>Jul-2025</v>
      </c>
      <c r="G197" t="str">
        <f>IF(Account_Data[[#This Row],[Credit]]&gt;0,"Income","Expense")</f>
        <v>Expense</v>
      </c>
      <c r="H1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97" s="3">
        <f>Account_Data[[#This Row],[Credit]]-Account_Data[[#This Row],[Debit]]</f>
        <v>-1080</v>
      </c>
      <c r="J197" s="7">
        <f>EOMONTH(Account_Data[[#This Row],[Date]],0)</f>
        <v>45869</v>
      </c>
      <c r="K197">
        <f>ABS(Account_Data[[#This Row],[Amount]])</f>
        <v>1080</v>
      </c>
    </row>
    <row r="198" spans="1:11" x14ac:dyDescent="0.35">
      <c r="A198" s="73">
        <v>45840</v>
      </c>
      <c r="B198" t="s">
        <v>229</v>
      </c>
      <c r="C198" s="3">
        <v>1100</v>
      </c>
      <c r="E198" s="3">
        <v>60163.97</v>
      </c>
      <c r="F198" t="str">
        <f>TEXT(Account_Data[[#This Row],[Date]],"mmm-yyyy")</f>
        <v>Jul-2025</v>
      </c>
      <c r="G198" t="str">
        <f>IF(Account_Data[[#This Row],[Credit]]&gt;0,"Income","Expense")</f>
        <v>Expense</v>
      </c>
      <c r="H1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98" s="3">
        <f>Account_Data[[#This Row],[Credit]]-Account_Data[[#This Row],[Debit]]</f>
        <v>-1100</v>
      </c>
      <c r="J198" s="7">
        <f>EOMONTH(Account_Data[[#This Row],[Date]],0)</f>
        <v>45869</v>
      </c>
      <c r="K198">
        <f>ABS(Account_Data[[#This Row],[Amount]])</f>
        <v>1100</v>
      </c>
    </row>
    <row r="199" spans="1:11" x14ac:dyDescent="0.35">
      <c r="A199" s="73">
        <v>45840</v>
      </c>
      <c r="B199" t="s">
        <v>230</v>
      </c>
      <c r="C199" s="3">
        <v>165</v>
      </c>
      <c r="E199" s="3">
        <v>59998.97</v>
      </c>
      <c r="F199" t="str">
        <f>TEXT(Account_Data[[#This Row],[Date]],"mmm-yyyy")</f>
        <v>Jul-2025</v>
      </c>
      <c r="G199" t="str">
        <f>IF(Account_Data[[#This Row],[Credit]]&gt;0,"Income","Expense")</f>
        <v>Expense</v>
      </c>
      <c r="H1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199" s="3">
        <f>Account_Data[[#This Row],[Credit]]-Account_Data[[#This Row],[Debit]]</f>
        <v>-165</v>
      </c>
      <c r="J199" s="7">
        <f>EOMONTH(Account_Data[[#This Row],[Date]],0)</f>
        <v>45869</v>
      </c>
      <c r="K199">
        <f>ABS(Account_Data[[#This Row],[Amount]])</f>
        <v>165</v>
      </c>
    </row>
    <row r="200" spans="1:11" x14ac:dyDescent="0.35">
      <c r="A200" s="73">
        <v>45840</v>
      </c>
      <c r="B200" t="s">
        <v>231</v>
      </c>
      <c r="C200" s="3">
        <v>60</v>
      </c>
      <c r="E200" s="3">
        <v>59938.97</v>
      </c>
      <c r="F200" t="str">
        <f>TEXT(Account_Data[[#This Row],[Date]],"mmm-yyyy")</f>
        <v>Jul-2025</v>
      </c>
      <c r="G200" t="str">
        <f>IF(Account_Data[[#This Row],[Credit]]&gt;0,"Income","Expense")</f>
        <v>Expense</v>
      </c>
      <c r="H2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0" s="3">
        <f>Account_Data[[#This Row],[Credit]]-Account_Data[[#This Row],[Debit]]</f>
        <v>-60</v>
      </c>
      <c r="J200" s="7">
        <f>EOMONTH(Account_Data[[#This Row],[Date]],0)</f>
        <v>45869</v>
      </c>
      <c r="K200">
        <f>ABS(Account_Data[[#This Row],[Amount]])</f>
        <v>60</v>
      </c>
    </row>
    <row r="201" spans="1:11" x14ac:dyDescent="0.35">
      <c r="A201" s="73">
        <v>45840</v>
      </c>
      <c r="B201" t="s">
        <v>183</v>
      </c>
      <c r="C201" s="3">
        <v>15000</v>
      </c>
      <c r="E201" s="3">
        <v>44938.97</v>
      </c>
      <c r="F201" t="str">
        <f>TEXT(Account_Data[[#This Row],[Date]],"mmm-yyyy")</f>
        <v>Jul-2025</v>
      </c>
      <c r="G201" t="str">
        <f>IF(Account_Data[[#This Row],[Credit]]&gt;0,"Income","Expense")</f>
        <v>Expense</v>
      </c>
      <c r="H2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1" s="3">
        <f>Account_Data[[#This Row],[Credit]]-Account_Data[[#This Row],[Debit]]</f>
        <v>-15000</v>
      </c>
      <c r="J201" s="7">
        <f>EOMONTH(Account_Data[[#This Row],[Date]],0)</f>
        <v>45869</v>
      </c>
      <c r="K201">
        <f>ABS(Account_Data[[#This Row],[Amount]])</f>
        <v>15000</v>
      </c>
    </row>
    <row r="202" spans="1:11" x14ac:dyDescent="0.35">
      <c r="A202" s="73">
        <v>45840</v>
      </c>
      <c r="B202" t="s">
        <v>232</v>
      </c>
      <c r="C202" s="3">
        <v>35</v>
      </c>
      <c r="E202" s="3">
        <v>44903.97</v>
      </c>
      <c r="F202" t="str">
        <f>TEXT(Account_Data[[#This Row],[Date]],"mmm-yyyy")</f>
        <v>Jul-2025</v>
      </c>
      <c r="G202" t="str">
        <f>IF(Account_Data[[#This Row],[Credit]]&gt;0,"Income","Expense")</f>
        <v>Expense</v>
      </c>
      <c r="H2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2" s="3">
        <f>Account_Data[[#This Row],[Credit]]-Account_Data[[#This Row],[Debit]]</f>
        <v>-35</v>
      </c>
      <c r="J202" s="7">
        <f>EOMONTH(Account_Data[[#This Row],[Date]],0)</f>
        <v>45869</v>
      </c>
      <c r="K202">
        <f>ABS(Account_Data[[#This Row],[Amount]])</f>
        <v>35</v>
      </c>
    </row>
    <row r="203" spans="1:11" x14ac:dyDescent="0.35">
      <c r="A203" s="73">
        <v>45840</v>
      </c>
      <c r="B203" t="s">
        <v>233</v>
      </c>
      <c r="C203" s="3">
        <v>50</v>
      </c>
      <c r="E203" s="3">
        <v>44853.97</v>
      </c>
      <c r="F203" t="str">
        <f>TEXT(Account_Data[[#This Row],[Date]],"mmm-yyyy")</f>
        <v>Jul-2025</v>
      </c>
      <c r="G203" t="str">
        <f>IF(Account_Data[[#This Row],[Credit]]&gt;0,"Income","Expense")</f>
        <v>Expense</v>
      </c>
      <c r="H2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3" s="3">
        <f>Account_Data[[#This Row],[Credit]]-Account_Data[[#This Row],[Debit]]</f>
        <v>-50</v>
      </c>
      <c r="J203" s="7">
        <f>EOMONTH(Account_Data[[#This Row],[Date]],0)</f>
        <v>45869</v>
      </c>
      <c r="K203">
        <f>ABS(Account_Data[[#This Row],[Amount]])</f>
        <v>50</v>
      </c>
    </row>
    <row r="204" spans="1:11" x14ac:dyDescent="0.35">
      <c r="A204" s="73">
        <v>45841</v>
      </c>
      <c r="B204" t="s">
        <v>234</v>
      </c>
      <c r="C204" s="3">
        <v>1</v>
      </c>
      <c r="E204" s="3">
        <v>44852.97</v>
      </c>
      <c r="F204" t="str">
        <f>TEXT(Account_Data[[#This Row],[Date]],"mmm-yyyy")</f>
        <v>Jul-2025</v>
      </c>
      <c r="G204" t="str">
        <f>IF(Account_Data[[#This Row],[Credit]]&gt;0,"Income","Expense")</f>
        <v>Expense</v>
      </c>
      <c r="H2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4" s="3">
        <f>Account_Data[[#This Row],[Credit]]-Account_Data[[#This Row],[Debit]]</f>
        <v>-1</v>
      </c>
      <c r="J204" s="7">
        <f>EOMONTH(Account_Data[[#This Row],[Date]],0)</f>
        <v>45869</v>
      </c>
      <c r="K204">
        <f>ABS(Account_Data[[#This Row],[Amount]])</f>
        <v>1</v>
      </c>
    </row>
    <row r="205" spans="1:11" x14ac:dyDescent="0.35">
      <c r="A205" s="73">
        <v>45842</v>
      </c>
      <c r="B205" t="s">
        <v>91</v>
      </c>
      <c r="C205" s="3">
        <v>6280</v>
      </c>
      <c r="E205" s="3">
        <v>38572.97</v>
      </c>
      <c r="F205" t="str">
        <f>TEXT(Account_Data[[#This Row],[Date]],"mmm-yyyy")</f>
        <v>Jul-2025</v>
      </c>
      <c r="G205" t="str">
        <f>IF(Account_Data[[#This Row],[Credit]]&gt;0,"Income","Expense")</f>
        <v>Expense</v>
      </c>
      <c r="H2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05" s="3">
        <f>Account_Data[[#This Row],[Credit]]-Account_Data[[#This Row],[Debit]]</f>
        <v>-6280</v>
      </c>
      <c r="J205" s="7">
        <f>EOMONTH(Account_Data[[#This Row],[Date]],0)</f>
        <v>45869</v>
      </c>
      <c r="K205">
        <f>ABS(Account_Data[[#This Row],[Amount]])</f>
        <v>6280</v>
      </c>
    </row>
    <row r="206" spans="1:11" x14ac:dyDescent="0.35">
      <c r="A206" s="73">
        <v>45842</v>
      </c>
      <c r="B206" t="s">
        <v>171</v>
      </c>
      <c r="C206" s="3">
        <v>350</v>
      </c>
      <c r="E206" s="3">
        <v>38222.97</v>
      </c>
      <c r="F206" t="str">
        <f>TEXT(Account_Data[[#This Row],[Date]],"mmm-yyyy")</f>
        <v>Jul-2025</v>
      </c>
      <c r="G206" t="str">
        <f>IF(Account_Data[[#This Row],[Credit]]&gt;0,"Income","Expense")</f>
        <v>Expense</v>
      </c>
      <c r="H2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6" s="3">
        <f>Account_Data[[#This Row],[Credit]]-Account_Data[[#This Row],[Debit]]</f>
        <v>-350</v>
      </c>
      <c r="J206" s="7">
        <f>EOMONTH(Account_Data[[#This Row],[Date]],0)</f>
        <v>45869</v>
      </c>
      <c r="K206">
        <f>ABS(Account_Data[[#This Row],[Amount]])</f>
        <v>350</v>
      </c>
    </row>
    <row r="207" spans="1:11" x14ac:dyDescent="0.35">
      <c r="A207" s="73">
        <v>45842</v>
      </c>
      <c r="B207" t="s">
        <v>235</v>
      </c>
      <c r="C207" s="3">
        <v>604.04999999999995</v>
      </c>
      <c r="E207" s="3">
        <v>37618.92</v>
      </c>
      <c r="F207" t="str">
        <f>TEXT(Account_Data[[#This Row],[Date]],"mmm-yyyy")</f>
        <v>Jul-2025</v>
      </c>
      <c r="G207" t="str">
        <f>IF(Account_Data[[#This Row],[Credit]]&gt;0,"Income","Expense")</f>
        <v>Expense</v>
      </c>
      <c r="H2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7" s="3">
        <f>Account_Data[[#This Row],[Credit]]-Account_Data[[#This Row],[Debit]]</f>
        <v>-604.04999999999995</v>
      </c>
      <c r="J207" s="7">
        <f>EOMONTH(Account_Data[[#This Row],[Date]],0)</f>
        <v>45869</v>
      </c>
      <c r="K207">
        <f>ABS(Account_Data[[#This Row],[Amount]])</f>
        <v>604.04999999999995</v>
      </c>
    </row>
    <row r="208" spans="1:11" x14ac:dyDescent="0.35">
      <c r="A208" s="73">
        <v>45842</v>
      </c>
      <c r="B208" t="s">
        <v>191</v>
      </c>
      <c r="C208" s="3">
        <v>1500</v>
      </c>
      <c r="E208" s="3">
        <v>36118.92</v>
      </c>
      <c r="F208" t="str">
        <f>TEXT(Account_Data[[#This Row],[Date]],"mmm-yyyy")</f>
        <v>Jul-2025</v>
      </c>
      <c r="G208" t="str">
        <f>IF(Account_Data[[#This Row],[Credit]]&gt;0,"Income","Expense")</f>
        <v>Expense</v>
      </c>
      <c r="H2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8" s="3">
        <f>Account_Data[[#This Row],[Credit]]-Account_Data[[#This Row],[Debit]]</f>
        <v>-1500</v>
      </c>
      <c r="J208" s="7">
        <f>EOMONTH(Account_Data[[#This Row],[Date]],0)</f>
        <v>45869</v>
      </c>
      <c r="K208">
        <f>ABS(Account_Data[[#This Row],[Amount]])</f>
        <v>1500</v>
      </c>
    </row>
    <row r="209" spans="1:11" x14ac:dyDescent="0.35">
      <c r="A209" s="73">
        <v>45842</v>
      </c>
      <c r="B209" t="s">
        <v>236</v>
      </c>
      <c r="C209" s="3">
        <v>999</v>
      </c>
      <c r="E209" s="3">
        <v>35119.919999999998</v>
      </c>
      <c r="F209" t="str">
        <f>TEXT(Account_Data[[#This Row],[Date]],"mmm-yyyy")</f>
        <v>Jul-2025</v>
      </c>
      <c r="G209" t="str">
        <f>IF(Account_Data[[#This Row],[Credit]]&gt;0,"Income","Expense")</f>
        <v>Expense</v>
      </c>
      <c r="H2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09" s="3">
        <f>Account_Data[[#This Row],[Credit]]-Account_Data[[#This Row],[Debit]]</f>
        <v>-999</v>
      </c>
      <c r="J209" s="7">
        <f>EOMONTH(Account_Data[[#This Row],[Date]],0)</f>
        <v>45869</v>
      </c>
      <c r="K209">
        <f>ABS(Account_Data[[#This Row],[Amount]])</f>
        <v>999</v>
      </c>
    </row>
    <row r="210" spans="1:11" x14ac:dyDescent="0.35">
      <c r="A210" s="73">
        <v>45843</v>
      </c>
      <c r="B210" t="s">
        <v>146</v>
      </c>
      <c r="C210" s="3">
        <v>50</v>
      </c>
      <c r="E210" s="3">
        <v>35069.919999999998</v>
      </c>
      <c r="F210" t="str">
        <f>TEXT(Account_Data[[#This Row],[Date]],"mmm-yyyy")</f>
        <v>Jul-2025</v>
      </c>
      <c r="G210" t="str">
        <f>IF(Account_Data[[#This Row],[Credit]]&gt;0,"Income","Expense")</f>
        <v>Expense</v>
      </c>
      <c r="H2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0" s="3">
        <f>Account_Data[[#This Row],[Credit]]-Account_Data[[#This Row],[Debit]]</f>
        <v>-50</v>
      </c>
      <c r="J210" s="7">
        <f>EOMONTH(Account_Data[[#This Row],[Date]],0)</f>
        <v>45869</v>
      </c>
      <c r="K210">
        <f>ABS(Account_Data[[#This Row],[Amount]])</f>
        <v>50</v>
      </c>
    </row>
    <row r="211" spans="1:11" x14ac:dyDescent="0.35">
      <c r="A211" s="73">
        <v>45844</v>
      </c>
      <c r="B211" t="s">
        <v>237</v>
      </c>
      <c r="C211" s="3">
        <v>1000</v>
      </c>
      <c r="E211" s="3">
        <v>34069.919999999998</v>
      </c>
      <c r="F211" t="str">
        <f>TEXT(Account_Data[[#This Row],[Date]],"mmm-yyyy")</f>
        <v>Jul-2025</v>
      </c>
      <c r="G211" t="str">
        <f>IF(Account_Data[[#This Row],[Credit]]&gt;0,"Income","Expense")</f>
        <v>Expense</v>
      </c>
      <c r="H2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1" s="3">
        <f>Account_Data[[#This Row],[Credit]]-Account_Data[[#This Row],[Debit]]</f>
        <v>-1000</v>
      </c>
      <c r="J211" s="7">
        <f>EOMONTH(Account_Data[[#This Row],[Date]],0)</f>
        <v>45869</v>
      </c>
      <c r="K211">
        <f>ABS(Account_Data[[#This Row],[Amount]])</f>
        <v>1000</v>
      </c>
    </row>
    <row r="212" spans="1:11" x14ac:dyDescent="0.35">
      <c r="A212" s="73">
        <v>45846</v>
      </c>
      <c r="B212" t="s">
        <v>191</v>
      </c>
      <c r="C212" s="3">
        <v>2566</v>
      </c>
      <c r="E212" s="3">
        <v>31503.919999999998</v>
      </c>
      <c r="F212" t="str">
        <f>TEXT(Account_Data[[#This Row],[Date]],"mmm-yyyy")</f>
        <v>Jul-2025</v>
      </c>
      <c r="G212" t="str">
        <f>IF(Account_Data[[#This Row],[Credit]]&gt;0,"Income","Expense")</f>
        <v>Expense</v>
      </c>
      <c r="H2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2" s="3">
        <f>Account_Data[[#This Row],[Credit]]-Account_Data[[#This Row],[Debit]]</f>
        <v>-2566</v>
      </c>
      <c r="J212" s="7">
        <f>EOMONTH(Account_Data[[#This Row],[Date]],0)</f>
        <v>45869</v>
      </c>
      <c r="K212">
        <f>ABS(Account_Data[[#This Row],[Amount]])</f>
        <v>2566</v>
      </c>
    </row>
    <row r="213" spans="1:11" x14ac:dyDescent="0.35">
      <c r="A213" s="73">
        <v>45846</v>
      </c>
      <c r="B213" t="s">
        <v>116</v>
      </c>
      <c r="D213" s="3">
        <v>59.52</v>
      </c>
      <c r="E213" s="3">
        <v>31563.439999999999</v>
      </c>
      <c r="F213" t="str">
        <f>TEXT(Account_Data[[#This Row],[Date]],"mmm-yyyy")</f>
        <v>Jul-2025</v>
      </c>
      <c r="G213" t="str">
        <f>IF(Account_Data[[#This Row],[Credit]]&gt;0,"Income","Expense")</f>
        <v>Income</v>
      </c>
      <c r="H2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213" s="3">
        <f>Account_Data[[#This Row],[Credit]]-Account_Data[[#This Row],[Debit]]</f>
        <v>59.52</v>
      </c>
      <c r="J213" s="7">
        <f>EOMONTH(Account_Data[[#This Row],[Date]],0)</f>
        <v>45869</v>
      </c>
      <c r="K213">
        <f>ABS(Account_Data[[#This Row],[Amount]])</f>
        <v>59.52</v>
      </c>
    </row>
    <row r="214" spans="1:11" x14ac:dyDescent="0.35">
      <c r="A214" s="73">
        <v>45846</v>
      </c>
      <c r="B214" t="s">
        <v>191</v>
      </c>
      <c r="C214" s="3">
        <v>15000</v>
      </c>
      <c r="E214" s="3">
        <v>16563.439999999999</v>
      </c>
      <c r="F214" t="str">
        <f>TEXT(Account_Data[[#This Row],[Date]],"mmm-yyyy")</f>
        <v>Jul-2025</v>
      </c>
      <c r="G214" t="str">
        <f>IF(Account_Data[[#This Row],[Credit]]&gt;0,"Income","Expense")</f>
        <v>Expense</v>
      </c>
      <c r="H2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4" s="3">
        <f>Account_Data[[#This Row],[Credit]]-Account_Data[[#This Row],[Debit]]</f>
        <v>-15000</v>
      </c>
      <c r="J214" s="7">
        <f>EOMONTH(Account_Data[[#This Row],[Date]],0)</f>
        <v>45869</v>
      </c>
      <c r="K214">
        <f>ABS(Account_Data[[#This Row],[Amount]])</f>
        <v>15000</v>
      </c>
    </row>
    <row r="215" spans="1:11" x14ac:dyDescent="0.35">
      <c r="A215" s="73">
        <v>45847</v>
      </c>
      <c r="B215" t="s">
        <v>238</v>
      </c>
      <c r="C215" s="3">
        <v>1868</v>
      </c>
      <c r="E215" s="3">
        <v>14695.44</v>
      </c>
      <c r="F215" t="str">
        <f>TEXT(Account_Data[[#This Row],[Date]],"mmm-yyyy")</f>
        <v>Jul-2025</v>
      </c>
      <c r="G215" t="str">
        <f>IF(Account_Data[[#This Row],[Credit]]&gt;0,"Income","Expense")</f>
        <v>Expense</v>
      </c>
      <c r="H2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5" s="3">
        <f>Account_Data[[#This Row],[Credit]]-Account_Data[[#This Row],[Debit]]</f>
        <v>-1868</v>
      </c>
      <c r="J215" s="7">
        <f>EOMONTH(Account_Data[[#This Row],[Date]],0)</f>
        <v>45869</v>
      </c>
      <c r="K215">
        <f>ABS(Account_Data[[#This Row],[Amount]])</f>
        <v>1868</v>
      </c>
    </row>
    <row r="216" spans="1:11" x14ac:dyDescent="0.35">
      <c r="A216" s="73">
        <v>45847</v>
      </c>
      <c r="B216" t="s">
        <v>108</v>
      </c>
      <c r="D216" s="3">
        <v>14000</v>
      </c>
      <c r="E216" s="3">
        <v>28695.439999999999</v>
      </c>
      <c r="F216" t="str">
        <f>TEXT(Account_Data[[#This Row],[Date]],"mmm-yyyy")</f>
        <v>Jul-2025</v>
      </c>
      <c r="G216" t="str">
        <f>IF(Account_Data[[#This Row],[Credit]]&gt;0,"Income","Expense")</f>
        <v>Income</v>
      </c>
      <c r="H2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6" s="3">
        <f>Account_Data[[#This Row],[Credit]]-Account_Data[[#This Row],[Debit]]</f>
        <v>14000</v>
      </c>
      <c r="J216" s="7">
        <f>EOMONTH(Account_Data[[#This Row],[Date]],0)</f>
        <v>45869</v>
      </c>
      <c r="K216">
        <f>ABS(Account_Data[[#This Row],[Amount]])</f>
        <v>14000</v>
      </c>
    </row>
    <row r="217" spans="1:11" x14ac:dyDescent="0.35">
      <c r="A217" s="73">
        <v>45847</v>
      </c>
      <c r="B217" t="s">
        <v>153</v>
      </c>
      <c r="C217" s="3">
        <v>10</v>
      </c>
      <c r="E217" s="3">
        <v>28685.439999999999</v>
      </c>
      <c r="F217" t="str">
        <f>TEXT(Account_Data[[#This Row],[Date]],"mmm-yyyy")</f>
        <v>Jul-2025</v>
      </c>
      <c r="G217" t="str">
        <f>IF(Account_Data[[#This Row],[Credit]]&gt;0,"Income","Expense")</f>
        <v>Expense</v>
      </c>
      <c r="H2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7" s="3">
        <f>Account_Data[[#This Row],[Credit]]-Account_Data[[#This Row],[Debit]]</f>
        <v>-10</v>
      </c>
      <c r="J217" s="7">
        <f>EOMONTH(Account_Data[[#This Row],[Date]],0)</f>
        <v>45869</v>
      </c>
      <c r="K217">
        <f>ABS(Account_Data[[#This Row],[Amount]])</f>
        <v>10</v>
      </c>
    </row>
    <row r="218" spans="1:11" x14ac:dyDescent="0.35">
      <c r="A218" s="73">
        <v>45848</v>
      </c>
      <c r="B218" t="s">
        <v>239</v>
      </c>
      <c r="D218" s="3">
        <v>2297</v>
      </c>
      <c r="E218" s="3">
        <v>30982.44</v>
      </c>
      <c r="F218" t="str">
        <f>TEXT(Account_Data[[#This Row],[Date]],"mmm-yyyy")</f>
        <v>Jul-2025</v>
      </c>
      <c r="G218" t="str">
        <f>IF(Account_Data[[#This Row],[Credit]]&gt;0,"Income","Expense")</f>
        <v>Income</v>
      </c>
      <c r="H2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8" s="3">
        <f>Account_Data[[#This Row],[Credit]]-Account_Data[[#This Row],[Debit]]</f>
        <v>2297</v>
      </c>
      <c r="J218" s="7">
        <f>EOMONTH(Account_Data[[#This Row],[Date]],0)</f>
        <v>45869</v>
      </c>
      <c r="K218">
        <f>ABS(Account_Data[[#This Row],[Amount]])</f>
        <v>2297</v>
      </c>
    </row>
    <row r="219" spans="1:11" x14ac:dyDescent="0.35">
      <c r="A219" s="73">
        <v>45848</v>
      </c>
      <c r="B219" t="s">
        <v>234</v>
      </c>
      <c r="C219" s="3">
        <v>199</v>
      </c>
      <c r="E219" s="3">
        <v>30783.439999999999</v>
      </c>
      <c r="F219" t="str">
        <f>TEXT(Account_Data[[#This Row],[Date]],"mmm-yyyy")</f>
        <v>Jul-2025</v>
      </c>
      <c r="G219" t="str">
        <f>IF(Account_Data[[#This Row],[Credit]]&gt;0,"Income","Expense")</f>
        <v>Expense</v>
      </c>
      <c r="H2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19" s="3">
        <f>Account_Data[[#This Row],[Credit]]-Account_Data[[#This Row],[Debit]]</f>
        <v>-199</v>
      </c>
      <c r="J219" s="7">
        <f>EOMONTH(Account_Data[[#This Row],[Date]],0)</f>
        <v>45869</v>
      </c>
      <c r="K219">
        <f>ABS(Account_Data[[#This Row],[Amount]])</f>
        <v>199</v>
      </c>
    </row>
    <row r="220" spans="1:11" x14ac:dyDescent="0.35">
      <c r="A220" s="73">
        <v>45848</v>
      </c>
      <c r="B220" t="s">
        <v>180</v>
      </c>
      <c r="C220" s="3">
        <v>15000</v>
      </c>
      <c r="E220" s="3">
        <v>15783.44</v>
      </c>
      <c r="F220" t="str">
        <f>TEXT(Account_Data[[#This Row],[Date]],"mmm-yyyy")</f>
        <v>Jul-2025</v>
      </c>
      <c r="G220" t="str">
        <f>IF(Account_Data[[#This Row],[Credit]]&gt;0,"Income","Expense")</f>
        <v>Expense</v>
      </c>
      <c r="H2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220" s="3">
        <f>Account_Data[[#This Row],[Credit]]-Account_Data[[#This Row],[Debit]]</f>
        <v>-15000</v>
      </c>
      <c r="J220" s="7">
        <f>EOMONTH(Account_Data[[#This Row],[Date]],0)</f>
        <v>45869</v>
      </c>
      <c r="K220">
        <f>ABS(Account_Data[[#This Row],[Amount]])</f>
        <v>15000</v>
      </c>
    </row>
    <row r="221" spans="1:11" x14ac:dyDescent="0.35">
      <c r="A221" s="73">
        <v>45848</v>
      </c>
      <c r="B221" t="s">
        <v>240</v>
      </c>
      <c r="C221" s="3">
        <v>70</v>
      </c>
      <c r="E221" s="3">
        <v>15713.44</v>
      </c>
      <c r="F221" t="str">
        <f>TEXT(Account_Data[[#This Row],[Date]],"mmm-yyyy")</f>
        <v>Jul-2025</v>
      </c>
      <c r="G221" t="str">
        <f>IF(Account_Data[[#This Row],[Credit]]&gt;0,"Income","Expense")</f>
        <v>Expense</v>
      </c>
      <c r="H2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1" s="3">
        <f>Account_Data[[#This Row],[Credit]]-Account_Data[[#This Row],[Debit]]</f>
        <v>-70</v>
      </c>
      <c r="J221" s="7">
        <f>EOMONTH(Account_Data[[#This Row],[Date]],0)</f>
        <v>45869</v>
      </c>
      <c r="K221">
        <f>ABS(Account_Data[[#This Row],[Amount]])</f>
        <v>70</v>
      </c>
    </row>
    <row r="222" spans="1:11" x14ac:dyDescent="0.35">
      <c r="A222" s="73">
        <v>45849</v>
      </c>
      <c r="B222" t="s">
        <v>241</v>
      </c>
      <c r="C222" s="3">
        <v>500</v>
      </c>
      <c r="E222" s="3">
        <v>15213.44</v>
      </c>
      <c r="F222" t="str">
        <f>TEXT(Account_Data[[#This Row],[Date]],"mmm-yyyy")</f>
        <v>Jul-2025</v>
      </c>
      <c r="G222" t="str">
        <f>IF(Account_Data[[#This Row],[Credit]]&gt;0,"Income","Expense")</f>
        <v>Expense</v>
      </c>
      <c r="H2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2" s="3">
        <f>Account_Data[[#This Row],[Credit]]-Account_Data[[#This Row],[Debit]]</f>
        <v>-500</v>
      </c>
      <c r="J222" s="7">
        <f>EOMONTH(Account_Data[[#This Row],[Date]],0)</f>
        <v>45869</v>
      </c>
      <c r="K222">
        <f>ABS(Account_Data[[#This Row],[Amount]])</f>
        <v>500</v>
      </c>
    </row>
    <row r="223" spans="1:11" x14ac:dyDescent="0.35">
      <c r="A223" s="73">
        <v>45849</v>
      </c>
      <c r="B223" t="s">
        <v>242</v>
      </c>
      <c r="C223" s="3">
        <v>350</v>
      </c>
      <c r="E223" s="3">
        <v>14863.44</v>
      </c>
      <c r="F223" t="str">
        <f>TEXT(Account_Data[[#This Row],[Date]],"mmm-yyyy")</f>
        <v>Jul-2025</v>
      </c>
      <c r="G223" t="str">
        <f>IF(Account_Data[[#This Row],[Credit]]&gt;0,"Income","Expense")</f>
        <v>Expense</v>
      </c>
      <c r="H2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3" s="3">
        <f>Account_Data[[#This Row],[Credit]]-Account_Data[[#This Row],[Debit]]</f>
        <v>-350</v>
      </c>
      <c r="J223" s="7">
        <f>EOMONTH(Account_Data[[#This Row],[Date]],0)</f>
        <v>45869</v>
      </c>
      <c r="K223">
        <f>ABS(Account_Data[[#This Row],[Amount]])</f>
        <v>350</v>
      </c>
    </row>
    <row r="224" spans="1:11" x14ac:dyDescent="0.35">
      <c r="A224" s="73">
        <v>45849</v>
      </c>
      <c r="B224" t="s">
        <v>153</v>
      </c>
      <c r="C224" s="3">
        <v>10</v>
      </c>
      <c r="E224" s="3">
        <v>14853.44</v>
      </c>
      <c r="F224" t="str">
        <f>TEXT(Account_Data[[#This Row],[Date]],"mmm-yyyy")</f>
        <v>Jul-2025</v>
      </c>
      <c r="G224" t="str">
        <f>IF(Account_Data[[#This Row],[Credit]]&gt;0,"Income","Expense")</f>
        <v>Expense</v>
      </c>
      <c r="H2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4" s="3">
        <f>Account_Data[[#This Row],[Credit]]-Account_Data[[#This Row],[Debit]]</f>
        <v>-10</v>
      </c>
      <c r="J224" s="7">
        <f>EOMONTH(Account_Data[[#This Row],[Date]],0)</f>
        <v>45869</v>
      </c>
      <c r="K224">
        <f>ABS(Account_Data[[#This Row],[Amount]])</f>
        <v>10</v>
      </c>
    </row>
    <row r="225" spans="1:11" x14ac:dyDescent="0.35">
      <c r="A225" s="73">
        <v>45851</v>
      </c>
      <c r="B225" t="s">
        <v>154</v>
      </c>
      <c r="C225" s="3">
        <v>424</v>
      </c>
      <c r="E225" s="3">
        <v>14429.44</v>
      </c>
      <c r="F225" t="str">
        <f>TEXT(Account_Data[[#This Row],[Date]],"mmm-yyyy")</f>
        <v>Jul-2025</v>
      </c>
      <c r="G225" t="str">
        <f>IF(Account_Data[[#This Row],[Credit]]&gt;0,"Income","Expense")</f>
        <v>Expense</v>
      </c>
      <c r="H2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5" s="3">
        <f>Account_Data[[#This Row],[Credit]]-Account_Data[[#This Row],[Debit]]</f>
        <v>-424</v>
      </c>
      <c r="J225" s="7">
        <f>EOMONTH(Account_Data[[#This Row],[Date]],0)</f>
        <v>45869</v>
      </c>
      <c r="K225">
        <f>ABS(Account_Data[[#This Row],[Amount]])</f>
        <v>424</v>
      </c>
    </row>
    <row r="226" spans="1:11" x14ac:dyDescent="0.35">
      <c r="A226" s="73">
        <v>45851</v>
      </c>
      <c r="B226" t="s">
        <v>198</v>
      </c>
      <c r="C226" s="3">
        <v>424</v>
      </c>
      <c r="E226" s="3">
        <v>14005.44</v>
      </c>
      <c r="F226" t="str">
        <f>TEXT(Account_Data[[#This Row],[Date]],"mmm-yyyy")</f>
        <v>Jul-2025</v>
      </c>
      <c r="G226" t="str">
        <f>IF(Account_Data[[#This Row],[Credit]]&gt;0,"Income","Expense")</f>
        <v>Expense</v>
      </c>
      <c r="H2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6" s="3">
        <f>Account_Data[[#This Row],[Credit]]-Account_Data[[#This Row],[Debit]]</f>
        <v>-424</v>
      </c>
      <c r="J226" s="7">
        <f>EOMONTH(Account_Data[[#This Row],[Date]],0)</f>
        <v>45869</v>
      </c>
      <c r="K226">
        <f>ABS(Account_Data[[#This Row],[Amount]])</f>
        <v>424</v>
      </c>
    </row>
    <row r="227" spans="1:11" x14ac:dyDescent="0.35">
      <c r="A227" s="73">
        <v>45851</v>
      </c>
      <c r="B227" t="s">
        <v>243</v>
      </c>
      <c r="C227" s="3">
        <v>3000</v>
      </c>
      <c r="E227" s="3">
        <v>11005.44</v>
      </c>
      <c r="F227" t="str">
        <f>TEXT(Account_Data[[#This Row],[Date]],"mmm-yyyy")</f>
        <v>Jul-2025</v>
      </c>
      <c r="G227" t="str">
        <f>IF(Account_Data[[#This Row],[Credit]]&gt;0,"Income","Expense")</f>
        <v>Expense</v>
      </c>
      <c r="H2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7" s="3">
        <f>Account_Data[[#This Row],[Credit]]-Account_Data[[#This Row],[Debit]]</f>
        <v>-3000</v>
      </c>
      <c r="J227" s="7">
        <f>EOMONTH(Account_Data[[#This Row],[Date]],0)</f>
        <v>45869</v>
      </c>
      <c r="K227">
        <f>ABS(Account_Data[[#This Row],[Amount]])</f>
        <v>3000</v>
      </c>
    </row>
    <row r="228" spans="1:11" x14ac:dyDescent="0.35">
      <c r="A228" s="73">
        <v>45852</v>
      </c>
      <c r="B228" t="s">
        <v>244</v>
      </c>
      <c r="C228" s="3">
        <v>1001</v>
      </c>
      <c r="E228" s="3">
        <v>10004.44</v>
      </c>
      <c r="F228" t="str">
        <f>TEXT(Account_Data[[#This Row],[Date]],"mmm-yyyy")</f>
        <v>Jul-2025</v>
      </c>
      <c r="G228" t="str">
        <f>IF(Account_Data[[#This Row],[Credit]]&gt;0,"Income","Expense")</f>
        <v>Expense</v>
      </c>
      <c r="H2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8" s="3">
        <f>Account_Data[[#This Row],[Credit]]-Account_Data[[#This Row],[Debit]]</f>
        <v>-1001</v>
      </c>
      <c r="J228" s="7">
        <f>EOMONTH(Account_Data[[#This Row],[Date]],0)</f>
        <v>45869</v>
      </c>
      <c r="K228">
        <f>ABS(Account_Data[[#This Row],[Amount]])</f>
        <v>1001</v>
      </c>
    </row>
    <row r="229" spans="1:11" x14ac:dyDescent="0.35">
      <c r="A229" s="73">
        <v>45853</v>
      </c>
      <c r="B229" t="s">
        <v>245</v>
      </c>
      <c r="C229" s="3">
        <v>1080</v>
      </c>
      <c r="E229" s="3">
        <v>8924.44</v>
      </c>
      <c r="F229" t="str">
        <f>TEXT(Account_Data[[#This Row],[Date]],"mmm-yyyy")</f>
        <v>Jul-2025</v>
      </c>
      <c r="G229" t="str">
        <f>IF(Account_Data[[#This Row],[Credit]]&gt;0,"Income","Expense")</f>
        <v>Expense</v>
      </c>
      <c r="H2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29" s="3">
        <f>Account_Data[[#This Row],[Credit]]-Account_Data[[#This Row],[Debit]]</f>
        <v>-1080</v>
      </c>
      <c r="J229" s="7">
        <f>EOMONTH(Account_Data[[#This Row],[Date]],0)</f>
        <v>45869</v>
      </c>
      <c r="K229">
        <f>ABS(Account_Data[[#This Row],[Amount]])</f>
        <v>1080</v>
      </c>
    </row>
    <row r="230" spans="1:11" x14ac:dyDescent="0.35">
      <c r="A230" s="73">
        <v>45853</v>
      </c>
      <c r="B230" t="s">
        <v>246</v>
      </c>
      <c r="C230" s="3">
        <v>2966</v>
      </c>
      <c r="E230" s="3">
        <v>5958.44</v>
      </c>
      <c r="F230" t="str">
        <f>TEXT(Account_Data[[#This Row],[Date]],"mmm-yyyy")</f>
        <v>Jul-2025</v>
      </c>
      <c r="G230" t="str">
        <f>IF(Account_Data[[#This Row],[Credit]]&gt;0,"Income","Expense")</f>
        <v>Expense</v>
      </c>
      <c r="H2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0" s="3">
        <f>Account_Data[[#This Row],[Credit]]-Account_Data[[#This Row],[Debit]]</f>
        <v>-2966</v>
      </c>
      <c r="J230" s="7">
        <f>EOMONTH(Account_Data[[#This Row],[Date]],0)</f>
        <v>45869</v>
      </c>
      <c r="K230">
        <f>ABS(Account_Data[[#This Row],[Amount]])</f>
        <v>2966</v>
      </c>
    </row>
    <row r="231" spans="1:11" x14ac:dyDescent="0.35">
      <c r="A231" s="73">
        <v>45853</v>
      </c>
      <c r="B231" t="s">
        <v>247</v>
      </c>
      <c r="C231" s="3">
        <v>20</v>
      </c>
      <c r="E231" s="3">
        <v>5938.44</v>
      </c>
      <c r="F231" t="str">
        <f>TEXT(Account_Data[[#This Row],[Date]],"mmm-yyyy")</f>
        <v>Jul-2025</v>
      </c>
      <c r="G231" t="str">
        <f>IF(Account_Data[[#This Row],[Credit]]&gt;0,"Income","Expense")</f>
        <v>Expense</v>
      </c>
      <c r="H2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1" s="3">
        <f>Account_Data[[#This Row],[Credit]]-Account_Data[[#This Row],[Debit]]</f>
        <v>-20</v>
      </c>
      <c r="J231" s="7">
        <f>EOMONTH(Account_Data[[#This Row],[Date]],0)</f>
        <v>45869</v>
      </c>
      <c r="K231">
        <f>ABS(Account_Data[[#This Row],[Amount]])</f>
        <v>20</v>
      </c>
    </row>
    <row r="232" spans="1:11" x14ac:dyDescent="0.35">
      <c r="A232" s="73">
        <v>45854</v>
      </c>
      <c r="B232" t="s">
        <v>235</v>
      </c>
      <c r="C232" s="3">
        <v>584.04999999999995</v>
      </c>
      <c r="E232" s="3">
        <v>5354.39</v>
      </c>
      <c r="F232" t="str">
        <f>TEXT(Account_Data[[#This Row],[Date]],"mmm-yyyy")</f>
        <v>Jul-2025</v>
      </c>
      <c r="G232" t="str">
        <f>IF(Account_Data[[#This Row],[Credit]]&gt;0,"Income","Expense")</f>
        <v>Expense</v>
      </c>
      <c r="H2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2" s="3">
        <f>Account_Data[[#This Row],[Credit]]-Account_Data[[#This Row],[Debit]]</f>
        <v>-584.04999999999995</v>
      </c>
      <c r="J232" s="7">
        <f>EOMONTH(Account_Data[[#This Row],[Date]],0)</f>
        <v>45869</v>
      </c>
      <c r="K232">
        <f>ABS(Account_Data[[#This Row],[Amount]])</f>
        <v>584.04999999999995</v>
      </c>
    </row>
    <row r="233" spans="1:11" x14ac:dyDescent="0.35">
      <c r="A233" s="73">
        <v>45854</v>
      </c>
      <c r="B233" t="s">
        <v>235</v>
      </c>
      <c r="C233" s="3">
        <v>584.04999999999995</v>
      </c>
      <c r="E233" s="3">
        <v>4770.34</v>
      </c>
      <c r="F233" t="str">
        <f>TEXT(Account_Data[[#This Row],[Date]],"mmm-yyyy")</f>
        <v>Jul-2025</v>
      </c>
      <c r="G233" t="str">
        <f>IF(Account_Data[[#This Row],[Credit]]&gt;0,"Income","Expense")</f>
        <v>Expense</v>
      </c>
      <c r="H2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3" s="3">
        <f>Account_Data[[#This Row],[Credit]]-Account_Data[[#This Row],[Debit]]</f>
        <v>-584.04999999999995</v>
      </c>
      <c r="J233" s="7">
        <f>EOMONTH(Account_Data[[#This Row],[Date]],0)</f>
        <v>45869</v>
      </c>
      <c r="K233">
        <f>ABS(Account_Data[[#This Row],[Amount]])</f>
        <v>584.04999999999995</v>
      </c>
    </row>
    <row r="234" spans="1:11" x14ac:dyDescent="0.35">
      <c r="A234" s="73">
        <v>45855</v>
      </c>
      <c r="B234" t="s">
        <v>243</v>
      </c>
      <c r="C234" s="3">
        <v>150</v>
      </c>
      <c r="E234" s="3">
        <v>4620.34</v>
      </c>
      <c r="F234" t="str">
        <f>TEXT(Account_Data[[#This Row],[Date]],"mmm-yyyy")</f>
        <v>Jul-2025</v>
      </c>
      <c r="G234" t="str">
        <f>IF(Account_Data[[#This Row],[Credit]]&gt;0,"Income","Expense")</f>
        <v>Expense</v>
      </c>
      <c r="H2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4" s="3">
        <f>Account_Data[[#This Row],[Credit]]-Account_Data[[#This Row],[Debit]]</f>
        <v>-150</v>
      </c>
      <c r="J234" s="7">
        <f>EOMONTH(Account_Data[[#This Row],[Date]],0)</f>
        <v>45869</v>
      </c>
      <c r="K234">
        <f>ABS(Account_Data[[#This Row],[Amount]])</f>
        <v>150</v>
      </c>
    </row>
    <row r="235" spans="1:11" x14ac:dyDescent="0.35">
      <c r="A235" s="73">
        <v>45857</v>
      </c>
      <c r="B235" t="s">
        <v>248</v>
      </c>
      <c r="C235" s="3">
        <v>783</v>
      </c>
      <c r="E235" s="3">
        <v>3837.34</v>
      </c>
      <c r="F235" t="str">
        <f>TEXT(Account_Data[[#This Row],[Date]],"mmm-yyyy")</f>
        <v>Jul-2025</v>
      </c>
      <c r="G235" t="str">
        <f>IF(Account_Data[[#This Row],[Credit]]&gt;0,"Income","Expense")</f>
        <v>Expense</v>
      </c>
      <c r="H2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5" s="3">
        <f>Account_Data[[#This Row],[Credit]]-Account_Data[[#This Row],[Debit]]</f>
        <v>-783</v>
      </c>
      <c r="J235" s="7">
        <f>EOMONTH(Account_Data[[#This Row],[Date]],0)</f>
        <v>45869</v>
      </c>
      <c r="K235">
        <f>ABS(Account_Data[[#This Row],[Amount]])</f>
        <v>783</v>
      </c>
    </row>
    <row r="236" spans="1:11" x14ac:dyDescent="0.35">
      <c r="A236" s="73">
        <v>45857</v>
      </c>
      <c r="B236" t="s">
        <v>249</v>
      </c>
      <c r="C236" s="3">
        <v>367</v>
      </c>
      <c r="E236" s="3">
        <v>3470.34</v>
      </c>
      <c r="F236" t="str">
        <f>TEXT(Account_Data[[#This Row],[Date]],"mmm-yyyy")</f>
        <v>Jul-2025</v>
      </c>
      <c r="G236" t="str">
        <f>IF(Account_Data[[#This Row],[Credit]]&gt;0,"Income","Expense")</f>
        <v>Expense</v>
      </c>
      <c r="H2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6" s="3">
        <f>Account_Data[[#This Row],[Credit]]-Account_Data[[#This Row],[Debit]]</f>
        <v>-367</v>
      </c>
      <c r="J236" s="7">
        <f>EOMONTH(Account_Data[[#This Row],[Date]],0)</f>
        <v>45869</v>
      </c>
      <c r="K236">
        <f>ABS(Account_Data[[#This Row],[Amount]])</f>
        <v>367</v>
      </c>
    </row>
    <row r="237" spans="1:11" x14ac:dyDescent="0.35">
      <c r="A237" s="73">
        <v>45857</v>
      </c>
      <c r="B237" t="s">
        <v>249</v>
      </c>
      <c r="C237" s="3">
        <v>253</v>
      </c>
      <c r="E237" s="3">
        <v>3217.34</v>
      </c>
      <c r="F237" t="str">
        <f>TEXT(Account_Data[[#This Row],[Date]],"mmm-yyyy")</f>
        <v>Jul-2025</v>
      </c>
      <c r="G237" t="str">
        <f>IF(Account_Data[[#This Row],[Credit]]&gt;0,"Income","Expense")</f>
        <v>Expense</v>
      </c>
      <c r="H2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7" s="3">
        <f>Account_Data[[#This Row],[Credit]]-Account_Data[[#This Row],[Debit]]</f>
        <v>-253</v>
      </c>
      <c r="J237" s="7">
        <f>EOMONTH(Account_Data[[#This Row],[Date]],0)</f>
        <v>45869</v>
      </c>
      <c r="K237">
        <f>ABS(Account_Data[[#This Row],[Amount]])</f>
        <v>253</v>
      </c>
    </row>
    <row r="238" spans="1:11" x14ac:dyDescent="0.35">
      <c r="A238" s="73">
        <v>45857</v>
      </c>
      <c r="B238" t="s">
        <v>250</v>
      </c>
      <c r="C238" s="3">
        <v>52</v>
      </c>
      <c r="E238" s="3">
        <v>3165.34</v>
      </c>
      <c r="F238" t="str">
        <f>TEXT(Account_Data[[#This Row],[Date]],"mmm-yyyy")</f>
        <v>Jul-2025</v>
      </c>
      <c r="G238" t="str">
        <f>IF(Account_Data[[#This Row],[Credit]]&gt;0,"Income","Expense")</f>
        <v>Expense</v>
      </c>
      <c r="H2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8" s="3">
        <f>Account_Data[[#This Row],[Credit]]-Account_Data[[#This Row],[Debit]]</f>
        <v>-52</v>
      </c>
      <c r="J238" s="7">
        <f>EOMONTH(Account_Data[[#This Row],[Date]],0)</f>
        <v>45869</v>
      </c>
      <c r="K238">
        <f>ABS(Account_Data[[#This Row],[Amount]])</f>
        <v>52</v>
      </c>
    </row>
    <row r="239" spans="1:11" x14ac:dyDescent="0.35">
      <c r="A239" s="73">
        <v>45858</v>
      </c>
      <c r="B239" t="s">
        <v>171</v>
      </c>
      <c r="C239" s="3">
        <v>350</v>
      </c>
      <c r="E239" s="3">
        <v>2815.34</v>
      </c>
      <c r="F239" t="str">
        <f>TEXT(Account_Data[[#This Row],[Date]],"mmm-yyyy")</f>
        <v>Jul-2025</v>
      </c>
      <c r="G239" t="str">
        <f>IF(Account_Data[[#This Row],[Credit]]&gt;0,"Income","Expense")</f>
        <v>Expense</v>
      </c>
      <c r="H2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39" s="3">
        <f>Account_Data[[#This Row],[Credit]]-Account_Data[[#This Row],[Debit]]</f>
        <v>-350</v>
      </c>
      <c r="J239" s="7">
        <f>EOMONTH(Account_Data[[#This Row],[Date]],0)</f>
        <v>45869</v>
      </c>
      <c r="K239">
        <f>ABS(Account_Data[[#This Row],[Amount]])</f>
        <v>350</v>
      </c>
    </row>
    <row r="240" spans="1:11" x14ac:dyDescent="0.35">
      <c r="A240" s="73">
        <v>45858</v>
      </c>
      <c r="B240" t="s">
        <v>108</v>
      </c>
      <c r="D240" s="3">
        <v>2000</v>
      </c>
      <c r="E240" s="3">
        <v>4815.34</v>
      </c>
      <c r="F240" t="str">
        <f>TEXT(Account_Data[[#This Row],[Date]],"mmm-yyyy")</f>
        <v>Jul-2025</v>
      </c>
      <c r="G240" t="str">
        <f>IF(Account_Data[[#This Row],[Credit]]&gt;0,"Income","Expense")</f>
        <v>Income</v>
      </c>
      <c r="H2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0" s="3">
        <f>Account_Data[[#This Row],[Credit]]-Account_Data[[#This Row],[Debit]]</f>
        <v>2000</v>
      </c>
      <c r="J240" s="7">
        <f>EOMONTH(Account_Data[[#This Row],[Date]],0)</f>
        <v>45869</v>
      </c>
      <c r="K240">
        <f>ABS(Account_Data[[#This Row],[Amount]])</f>
        <v>2000</v>
      </c>
    </row>
    <row r="241" spans="1:11" x14ac:dyDescent="0.35">
      <c r="A241" s="73">
        <v>45858</v>
      </c>
      <c r="B241" t="s">
        <v>117</v>
      </c>
      <c r="D241" s="3">
        <v>1500</v>
      </c>
      <c r="E241" s="3">
        <v>6315.34</v>
      </c>
      <c r="F241" t="str">
        <f>TEXT(Account_Data[[#This Row],[Date]],"mmm-yyyy")</f>
        <v>Jul-2025</v>
      </c>
      <c r="G241" t="str">
        <f>IF(Account_Data[[#This Row],[Credit]]&gt;0,"Income","Expense")</f>
        <v>Income</v>
      </c>
      <c r="H2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241" s="3">
        <f>Account_Data[[#This Row],[Credit]]-Account_Data[[#This Row],[Debit]]</f>
        <v>1500</v>
      </c>
      <c r="J241" s="7">
        <f>EOMONTH(Account_Data[[#This Row],[Date]],0)</f>
        <v>45869</v>
      </c>
      <c r="K241">
        <f>ABS(Account_Data[[#This Row],[Amount]])</f>
        <v>1500</v>
      </c>
    </row>
    <row r="242" spans="1:11" x14ac:dyDescent="0.35">
      <c r="A242" s="73">
        <v>45858</v>
      </c>
      <c r="B242" t="s">
        <v>251</v>
      </c>
      <c r="C242" s="3">
        <v>5000</v>
      </c>
      <c r="E242" s="3">
        <v>1315.34</v>
      </c>
      <c r="F242" t="str">
        <f>TEXT(Account_Data[[#This Row],[Date]],"mmm-yyyy")</f>
        <v>Jul-2025</v>
      </c>
      <c r="G242" t="str">
        <f>IF(Account_Data[[#This Row],[Credit]]&gt;0,"Income","Expense")</f>
        <v>Expense</v>
      </c>
      <c r="H2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2" s="3">
        <f>Account_Data[[#This Row],[Credit]]-Account_Data[[#This Row],[Debit]]</f>
        <v>-5000</v>
      </c>
      <c r="J242" s="7">
        <f>EOMONTH(Account_Data[[#This Row],[Date]],0)</f>
        <v>45869</v>
      </c>
      <c r="K242">
        <f>ABS(Account_Data[[#This Row],[Amount]])</f>
        <v>5000</v>
      </c>
    </row>
    <row r="243" spans="1:11" x14ac:dyDescent="0.35">
      <c r="A243" s="73">
        <v>45861</v>
      </c>
      <c r="B243" t="s">
        <v>252</v>
      </c>
      <c r="C243" s="3">
        <v>150</v>
      </c>
      <c r="E243" s="3">
        <v>1165.3399999999999</v>
      </c>
      <c r="F243" t="str">
        <f>TEXT(Account_Data[[#This Row],[Date]],"mmm-yyyy")</f>
        <v>Jul-2025</v>
      </c>
      <c r="G243" t="str">
        <f>IF(Account_Data[[#This Row],[Credit]]&gt;0,"Income","Expense")</f>
        <v>Expense</v>
      </c>
      <c r="H2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3" s="3">
        <f>Account_Data[[#This Row],[Credit]]-Account_Data[[#This Row],[Debit]]</f>
        <v>-150</v>
      </c>
      <c r="J243" s="7">
        <f>EOMONTH(Account_Data[[#This Row],[Date]],0)</f>
        <v>45869</v>
      </c>
      <c r="K243">
        <f>ABS(Account_Data[[#This Row],[Amount]])</f>
        <v>150</v>
      </c>
    </row>
    <row r="244" spans="1:11" x14ac:dyDescent="0.35">
      <c r="A244" s="73">
        <v>45862</v>
      </c>
      <c r="B244" t="s">
        <v>253</v>
      </c>
      <c r="C244" s="3">
        <v>15</v>
      </c>
      <c r="E244" s="3">
        <v>1150.3399999999999</v>
      </c>
      <c r="F244" t="str">
        <f>TEXT(Account_Data[[#This Row],[Date]],"mmm-yyyy")</f>
        <v>Jul-2025</v>
      </c>
      <c r="G244" t="str">
        <f>IF(Account_Data[[#This Row],[Credit]]&gt;0,"Income","Expense")</f>
        <v>Expense</v>
      </c>
      <c r="H2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4" s="3">
        <f>Account_Data[[#This Row],[Credit]]-Account_Data[[#This Row],[Debit]]</f>
        <v>-15</v>
      </c>
      <c r="J244" s="7">
        <f>EOMONTH(Account_Data[[#This Row],[Date]],0)</f>
        <v>45869</v>
      </c>
      <c r="K244">
        <f>ABS(Account_Data[[#This Row],[Amount]])</f>
        <v>15</v>
      </c>
    </row>
    <row r="245" spans="1:11" x14ac:dyDescent="0.35">
      <c r="A245" s="73">
        <v>45865</v>
      </c>
      <c r="B245" t="s">
        <v>153</v>
      </c>
      <c r="C245" s="3">
        <v>10</v>
      </c>
      <c r="E245" s="3">
        <v>1140.3399999999999</v>
      </c>
      <c r="F245" t="str">
        <f>TEXT(Account_Data[[#This Row],[Date]],"mmm-yyyy")</f>
        <v>Jul-2025</v>
      </c>
      <c r="G245" t="str">
        <f>IF(Account_Data[[#This Row],[Credit]]&gt;0,"Income","Expense")</f>
        <v>Expense</v>
      </c>
      <c r="H2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5" s="3">
        <f>Account_Data[[#This Row],[Credit]]-Account_Data[[#This Row],[Debit]]</f>
        <v>-10</v>
      </c>
      <c r="J245" s="7">
        <f>EOMONTH(Account_Data[[#This Row],[Date]],0)</f>
        <v>45869</v>
      </c>
      <c r="K245">
        <f>ABS(Account_Data[[#This Row],[Amount]])</f>
        <v>10</v>
      </c>
    </row>
    <row r="246" spans="1:11" x14ac:dyDescent="0.35">
      <c r="A246" s="73">
        <v>45866</v>
      </c>
      <c r="B246" t="s">
        <v>99</v>
      </c>
      <c r="C246" s="3">
        <v>1000</v>
      </c>
      <c r="E246" s="3">
        <v>140.34</v>
      </c>
      <c r="F246" t="str">
        <f>TEXT(Account_Data[[#This Row],[Date]],"mmm-yyyy")</f>
        <v>Jul-2025</v>
      </c>
      <c r="G246" t="str">
        <f>IF(Account_Data[[#This Row],[Credit]]&gt;0,"Income","Expense")</f>
        <v>Expense</v>
      </c>
      <c r="H2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246" s="3">
        <f>Account_Data[[#This Row],[Credit]]-Account_Data[[#This Row],[Debit]]</f>
        <v>-1000</v>
      </c>
      <c r="J246" s="7">
        <f>EOMONTH(Account_Data[[#This Row],[Date]],0)</f>
        <v>45869</v>
      </c>
      <c r="K246">
        <f>ABS(Account_Data[[#This Row],[Amount]])</f>
        <v>1000</v>
      </c>
    </row>
    <row r="247" spans="1:11" x14ac:dyDescent="0.35">
      <c r="A247" s="73">
        <v>45866</v>
      </c>
      <c r="B247" t="s">
        <v>153</v>
      </c>
      <c r="C247" s="3">
        <v>10</v>
      </c>
      <c r="E247" s="3">
        <v>130.34</v>
      </c>
      <c r="F247" t="str">
        <f>TEXT(Account_Data[[#This Row],[Date]],"mmm-yyyy")</f>
        <v>Jul-2025</v>
      </c>
      <c r="G247" t="str">
        <f>IF(Account_Data[[#This Row],[Credit]]&gt;0,"Income","Expense")</f>
        <v>Expense</v>
      </c>
      <c r="H2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7" s="3">
        <f>Account_Data[[#This Row],[Credit]]-Account_Data[[#This Row],[Debit]]</f>
        <v>-10</v>
      </c>
      <c r="J247" s="7">
        <f>EOMONTH(Account_Data[[#This Row],[Date]],0)</f>
        <v>45869</v>
      </c>
      <c r="K247">
        <f>ABS(Account_Data[[#This Row],[Amount]])</f>
        <v>10</v>
      </c>
    </row>
    <row r="248" spans="1:11" x14ac:dyDescent="0.35">
      <c r="A248" s="73">
        <v>45867</v>
      </c>
      <c r="B248" t="s">
        <v>489</v>
      </c>
      <c r="D248" s="3">
        <v>112701</v>
      </c>
      <c r="E248" s="3">
        <v>112831.34</v>
      </c>
      <c r="F248" t="str">
        <f>TEXT(Account_Data[[#This Row],[Date]],"mmm-yyyy")</f>
        <v>Jul-2025</v>
      </c>
      <c r="G248" t="str">
        <f>IF(Account_Data[[#This Row],[Credit]]&gt;0,"Income","Expense")</f>
        <v>Income</v>
      </c>
      <c r="H2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248" s="3">
        <f>Account_Data[[#This Row],[Credit]]-Account_Data[[#This Row],[Debit]]</f>
        <v>112701</v>
      </c>
      <c r="J248" s="7">
        <f>EOMONTH(Account_Data[[#This Row],[Date]],0)</f>
        <v>45869</v>
      </c>
      <c r="K248">
        <f>ABS(Account_Data[[#This Row],[Amount]])</f>
        <v>112701</v>
      </c>
    </row>
    <row r="249" spans="1:11" x14ac:dyDescent="0.35">
      <c r="A249" s="73">
        <v>45867</v>
      </c>
      <c r="B249" t="s">
        <v>183</v>
      </c>
      <c r="C249" s="3">
        <v>17000</v>
      </c>
      <c r="E249" s="3">
        <v>95831.34</v>
      </c>
      <c r="F249" t="str">
        <f>TEXT(Account_Data[[#This Row],[Date]],"mmm-yyyy")</f>
        <v>Jul-2025</v>
      </c>
      <c r="G249" t="str">
        <f>IF(Account_Data[[#This Row],[Credit]]&gt;0,"Income","Expense")</f>
        <v>Expense</v>
      </c>
      <c r="H2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49" s="3">
        <f>Account_Data[[#This Row],[Credit]]-Account_Data[[#This Row],[Debit]]</f>
        <v>-17000</v>
      </c>
      <c r="J249" s="7">
        <f>EOMONTH(Account_Data[[#This Row],[Date]],0)</f>
        <v>45869</v>
      </c>
      <c r="K249">
        <f>ABS(Account_Data[[#This Row],[Amount]])</f>
        <v>17000</v>
      </c>
    </row>
    <row r="250" spans="1:11" x14ac:dyDescent="0.35">
      <c r="A250" s="73">
        <v>45868</v>
      </c>
      <c r="B250" t="s">
        <v>177</v>
      </c>
      <c r="C250" s="3">
        <v>250</v>
      </c>
      <c r="E250" s="3">
        <v>95581.34</v>
      </c>
      <c r="F250" t="str">
        <f>TEXT(Account_Data[[#This Row],[Date]],"mmm-yyyy")</f>
        <v>Jul-2025</v>
      </c>
      <c r="G250" t="str">
        <f>IF(Account_Data[[#This Row],[Credit]]&gt;0,"Income","Expense")</f>
        <v>Expense</v>
      </c>
      <c r="H2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50" s="3">
        <f>Account_Data[[#This Row],[Credit]]-Account_Data[[#This Row],[Debit]]</f>
        <v>-250</v>
      </c>
      <c r="J250" s="7">
        <f>EOMONTH(Account_Data[[#This Row],[Date]],0)</f>
        <v>45869</v>
      </c>
      <c r="K250">
        <f>ABS(Account_Data[[#This Row],[Amount]])</f>
        <v>250</v>
      </c>
    </row>
    <row r="251" spans="1:11" x14ac:dyDescent="0.35">
      <c r="A251" s="73">
        <v>45868</v>
      </c>
      <c r="B251" t="s">
        <v>242</v>
      </c>
      <c r="C251" s="3">
        <v>1000</v>
      </c>
      <c r="E251" s="3">
        <v>94581.34</v>
      </c>
      <c r="F251" t="str">
        <f>TEXT(Account_Data[[#This Row],[Date]],"mmm-yyyy")</f>
        <v>Jul-2025</v>
      </c>
      <c r="G251" t="str">
        <f>IF(Account_Data[[#This Row],[Credit]]&gt;0,"Income","Expense")</f>
        <v>Expense</v>
      </c>
      <c r="H2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51" s="3">
        <f>Account_Data[[#This Row],[Credit]]-Account_Data[[#This Row],[Debit]]</f>
        <v>-1000</v>
      </c>
      <c r="J251" s="7">
        <f>EOMONTH(Account_Data[[#This Row],[Date]],0)</f>
        <v>45869</v>
      </c>
      <c r="K251">
        <f>ABS(Account_Data[[#This Row],[Amount]])</f>
        <v>1000</v>
      </c>
    </row>
    <row r="252" spans="1:11" x14ac:dyDescent="0.35">
      <c r="A252" s="73">
        <v>45868</v>
      </c>
      <c r="B252" t="s">
        <v>254</v>
      </c>
      <c r="C252" s="3">
        <v>1299</v>
      </c>
      <c r="E252" s="3">
        <v>93282.34</v>
      </c>
      <c r="F252" t="str">
        <f>TEXT(Account_Data[[#This Row],[Date]],"mmm-yyyy")</f>
        <v>Jul-2025</v>
      </c>
      <c r="G252" t="str">
        <f>IF(Account_Data[[#This Row],[Credit]]&gt;0,"Income","Expense")</f>
        <v>Expense</v>
      </c>
      <c r="H2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52" s="3">
        <f>Account_Data[[#This Row],[Credit]]-Account_Data[[#This Row],[Debit]]</f>
        <v>-1299</v>
      </c>
      <c r="J252" s="7">
        <f>EOMONTH(Account_Data[[#This Row],[Date]],0)</f>
        <v>45869</v>
      </c>
      <c r="K252">
        <f>ABS(Account_Data[[#This Row],[Amount]])</f>
        <v>1299</v>
      </c>
    </row>
    <row r="253" spans="1:11" x14ac:dyDescent="0.35">
      <c r="A253" s="73">
        <v>45869</v>
      </c>
      <c r="B253" t="s">
        <v>100</v>
      </c>
      <c r="C253" s="3">
        <v>1556</v>
      </c>
      <c r="E253" s="3">
        <v>91726.34</v>
      </c>
      <c r="F253" t="str">
        <f>TEXT(Account_Data[[#This Row],[Date]],"mmm-yyyy")</f>
        <v>Jul-2025</v>
      </c>
      <c r="G253" t="str">
        <f>IF(Account_Data[[#This Row],[Credit]]&gt;0,"Income","Expense")</f>
        <v>Expense</v>
      </c>
      <c r="H2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253" s="3">
        <f>Account_Data[[#This Row],[Credit]]-Account_Data[[#This Row],[Debit]]</f>
        <v>-1556</v>
      </c>
      <c r="J253" s="7">
        <f>EOMONTH(Account_Data[[#This Row],[Date]],0)</f>
        <v>45869</v>
      </c>
      <c r="K253">
        <f>ABS(Account_Data[[#This Row],[Amount]])</f>
        <v>1556</v>
      </c>
    </row>
    <row r="254" spans="1:11" x14ac:dyDescent="0.35">
      <c r="A254" s="73">
        <v>45869</v>
      </c>
      <c r="B254" t="s">
        <v>170</v>
      </c>
      <c r="C254" s="3">
        <v>1000</v>
      </c>
      <c r="E254" s="3">
        <v>90726.34</v>
      </c>
      <c r="F254" t="str">
        <f>TEXT(Account_Data[[#This Row],[Date]],"mmm-yyyy")</f>
        <v>Jul-2025</v>
      </c>
      <c r="G254" t="str">
        <f>IF(Account_Data[[#This Row],[Credit]]&gt;0,"Income","Expense")</f>
        <v>Expense</v>
      </c>
      <c r="H2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54" s="3">
        <f>Account_Data[[#This Row],[Credit]]-Account_Data[[#This Row],[Debit]]</f>
        <v>-1000</v>
      </c>
      <c r="J254" s="7">
        <f>EOMONTH(Account_Data[[#This Row],[Date]],0)</f>
        <v>45869</v>
      </c>
      <c r="K254">
        <f>ABS(Account_Data[[#This Row],[Amount]])</f>
        <v>1000</v>
      </c>
    </row>
    <row r="255" spans="1:11" x14ac:dyDescent="0.35">
      <c r="A255" s="73">
        <v>45870</v>
      </c>
      <c r="B255" t="s">
        <v>89</v>
      </c>
      <c r="C255" s="3">
        <v>5000</v>
      </c>
      <c r="E255" s="3">
        <v>85726.34</v>
      </c>
      <c r="F255" t="str">
        <f>TEXT(Account_Data[[#This Row],[Date]],"mmm-yyyy")</f>
        <v>Aug-2025</v>
      </c>
      <c r="G255" t="str">
        <f>IF(Account_Data[[#This Row],[Credit]]&gt;0,"Income","Expense")</f>
        <v>Expense</v>
      </c>
      <c r="H2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55" s="3">
        <f>Account_Data[[#This Row],[Credit]]-Account_Data[[#This Row],[Debit]]</f>
        <v>-5000</v>
      </c>
      <c r="J255" s="7">
        <f>EOMONTH(Account_Data[[#This Row],[Date]],0)</f>
        <v>45900</v>
      </c>
      <c r="K255">
        <f>ABS(Account_Data[[#This Row],[Amount]])</f>
        <v>5000</v>
      </c>
    </row>
    <row r="256" spans="1:11" x14ac:dyDescent="0.35">
      <c r="A256" s="73">
        <v>45870</v>
      </c>
      <c r="B256" t="s">
        <v>89</v>
      </c>
      <c r="C256" s="3">
        <v>2000</v>
      </c>
      <c r="E256" s="3">
        <v>83726.34</v>
      </c>
      <c r="F256" t="str">
        <f>TEXT(Account_Data[[#This Row],[Date]],"mmm-yyyy")</f>
        <v>Aug-2025</v>
      </c>
      <c r="G256" t="str">
        <f>IF(Account_Data[[#This Row],[Credit]]&gt;0,"Income","Expense")</f>
        <v>Expense</v>
      </c>
      <c r="H2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56" s="3">
        <f>Account_Data[[#This Row],[Credit]]-Account_Data[[#This Row],[Debit]]</f>
        <v>-2000</v>
      </c>
      <c r="J256" s="7">
        <f>EOMONTH(Account_Data[[#This Row],[Date]],0)</f>
        <v>45900</v>
      </c>
      <c r="K256">
        <f>ABS(Account_Data[[#This Row],[Amount]])</f>
        <v>2000</v>
      </c>
    </row>
    <row r="257" spans="1:11" x14ac:dyDescent="0.35">
      <c r="A257" s="73">
        <v>45870</v>
      </c>
      <c r="B257" t="s">
        <v>89</v>
      </c>
      <c r="C257" s="3">
        <v>2000</v>
      </c>
      <c r="E257" s="3">
        <v>81726.34</v>
      </c>
      <c r="F257" t="str">
        <f>TEXT(Account_Data[[#This Row],[Date]],"mmm-yyyy")</f>
        <v>Aug-2025</v>
      </c>
      <c r="G257" t="str">
        <f>IF(Account_Data[[#This Row],[Credit]]&gt;0,"Income","Expense")</f>
        <v>Expense</v>
      </c>
      <c r="H2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57" s="3">
        <f>Account_Data[[#This Row],[Credit]]-Account_Data[[#This Row],[Debit]]</f>
        <v>-2000</v>
      </c>
      <c r="J257" s="7">
        <f>EOMONTH(Account_Data[[#This Row],[Date]],0)</f>
        <v>45900</v>
      </c>
      <c r="K257">
        <f>ABS(Account_Data[[#This Row],[Amount]])</f>
        <v>2000</v>
      </c>
    </row>
    <row r="258" spans="1:11" x14ac:dyDescent="0.35">
      <c r="A258" s="73">
        <v>45870</v>
      </c>
      <c r="B258" t="s">
        <v>89</v>
      </c>
      <c r="C258" s="3">
        <v>5000</v>
      </c>
      <c r="E258" s="3">
        <v>76726.34</v>
      </c>
      <c r="F258" t="str">
        <f>TEXT(Account_Data[[#This Row],[Date]],"mmm-yyyy")</f>
        <v>Aug-2025</v>
      </c>
      <c r="G258" t="str">
        <f>IF(Account_Data[[#This Row],[Credit]]&gt;0,"Income","Expense")</f>
        <v>Expense</v>
      </c>
      <c r="H2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58" s="3">
        <f>Account_Data[[#This Row],[Credit]]-Account_Data[[#This Row],[Debit]]</f>
        <v>-5000</v>
      </c>
      <c r="J258" s="7">
        <f>EOMONTH(Account_Data[[#This Row],[Date]],0)</f>
        <v>45900</v>
      </c>
      <c r="K258">
        <f>ABS(Account_Data[[#This Row],[Amount]])</f>
        <v>5000</v>
      </c>
    </row>
    <row r="259" spans="1:11" x14ac:dyDescent="0.35">
      <c r="A259" s="73">
        <v>45870</v>
      </c>
      <c r="B259" t="s">
        <v>89</v>
      </c>
      <c r="C259" s="3">
        <v>2000</v>
      </c>
      <c r="E259" s="3">
        <v>74726.34</v>
      </c>
      <c r="F259" t="str">
        <f>TEXT(Account_Data[[#This Row],[Date]],"mmm-yyyy")</f>
        <v>Aug-2025</v>
      </c>
      <c r="G259" t="str">
        <f>IF(Account_Data[[#This Row],[Credit]]&gt;0,"Income","Expense")</f>
        <v>Expense</v>
      </c>
      <c r="H2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59" s="3">
        <f>Account_Data[[#This Row],[Credit]]-Account_Data[[#This Row],[Debit]]</f>
        <v>-2000</v>
      </c>
      <c r="J259" s="7">
        <f>EOMONTH(Account_Data[[#This Row],[Date]],0)</f>
        <v>45900</v>
      </c>
      <c r="K259">
        <f>ABS(Account_Data[[#This Row],[Amount]])</f>
        <v>2000</v>
      </c>
    </row>
    <row r="260" spans="1:11" x14ac:dyDescent="0.35">
      <c r="A260" s="73">
        <v>45870</v>
      </c>
      <c r="B260" t="s">
        <v>89</v>
      </c>
      <c r="C260" s="3">
        <v>3000</v>
      </c>
      <c r="E260" s="3">
        <v>71726.34</v>
      </c>
      <c r="F260" t="str">
        <f>TEXT(Account_Data[[#This Row],[Date]],"mmm-yyyy")</f>
        <v>Aug-2025</v>
      </c>
      <c r="G260" t="str">
        <f>IF(Account_Data[[#This Row],[Credit]]&gt;0,"Income","Expense")</f>
        <v>Expense</v>
      </c>
      <c r="H2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60" s="3">
        <f>Account_Data[[#This Row],[Credit]]-Account_Data[[#This Row],[Debit]]</f>
        <v>-3000</v>
      </c>
      <c r="J260" s="7">
        <f>EOMONTH(Account_Data[[#This Row],[Date]],0)</f>
        <v>45900</v>
      </c>
      <c r="K260">
        <f>ABS(Account_Data[[#This Row],[Amount]])</f>
        <v>3000</v>
      </c>
    </row>
    <row r="261" spans="1:11" x14ac:dyDescent="0.35">
      <c r="A261" s="73">
        <v>45870</v>
      </c>
      <c r="B261" t="s">
        <v>90</v>
      </c>
      <c r="C261" s="3">
        <v>1000</v>
      </c>
      <c r="E261" s="3">
        <v>70726.34</v>
      </c>
      <c r="F261" t="str">
        <f>TEXT(Account_Data[[#This Row],[Date]],"mmm-yyyy")</f>
        <v>Aug-2025</v>
      </c>
      <c r="G261" t="str">
        <f>IF(Account_Data[[#This Row],[Credit]]&gt;0,"Income","Expense")</f>
        <v>Expense</v>
      </c>
      <c r="H2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261" s="3">
        <f>Account_Data[[#This Row],[Credit]]-Account_Data[[#This Row],[Debit]]</f>
        <v>-1000</v>
      </c>
      <c r="J261" s="7">
        <f>EOMONTH(Account_Data[[#This Row],[Date]],0)</f>
        <v>45900</v>
      </c>
      <c r="K261">
        <f>ABS(Account_Data[[#This Row],[Amount]])</f>
        <v>1000</v>
      </c>
    </row>
    <row r="262" spans="1:11" x14ac:dyDescent="0.35">
      <c r="A262" s="73">
        <v>45870</v>
      </c>
      <c r="B262" t="s">
        <v>235</v>
      </c>
      <c r="C262" s="3">
        <v>525</v>
      </c>
      <c r="E262" s="3">
        <v>70201.34</v>
      </c>
      <c r="F262" t="str">
        <f>TEXT(Account_Data[[#This Row],[Date]],"mmm-yyyy")</f>
        <v>Aug-2025</v>
      </c>
      <c r="G262" t="str">
        <f>IF(Account_Data[[#This Row],[Credit]]&gt;0,"Income","Expense")</f>
        <v>Expense</v>
      </c>
      <c r="H2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62" s="3">
        <f>Account_Data[[#This Row],[Credit]]-Account_Data[[#This Row],[Debit]]</f>
        <v>-525</v>
      </c>
      <c r="J262" s="7">
        <f>EOMONTH(Account_Data[[#This Row],[Date]],0)</f>
        <v>45900</v>
      </c>
      <c r="K262">
        <f>ABS(Account_Data[[#This Row],[Amount]])</f>
        <v>525</v>
      </c>
    </row>
    <row r="263" spans="1:11" x14ac:dyDescent="0.35">
      <c r="A263" s="73">
        <v>45870</v>
      </c>
      <c r="B263" t="s">
        <v>110</v>
      </c>
      <c r="C263" s="3">
        <v>16159</v>
      </c>
      <c r="E263" s="3">
        <v>54042.34</v>
      </c>
      <c r="F263" t="str">
        <f>TEXT(Account_Data[[#This Row],[Date]],"mmm-yyyy")</f>
        <v>Aug-2025</v>
      </c>
      <c r="G263" t="str">
        <f>IF(Account_Data[[#This Row],[Credit]]&gt;0,"Income","Expense")</f>
        <v>Expense</v>
      </c>
      <c r="H2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63" s="3">
        <f>Account_Data[[#This Row],[Credit]]-Account_Data[[#This Row],[Debit]]</f>
        <v>-16159</v>
      </c>
      <c r="J263" s="7">
        <f>EOMONTH(Account_Data[[#This Row],[Date]],0)</f>
        <v>45900</v>
      </c>
      <c r="K263">
        <f>ABS(Account_Data[[#This Row],[Amount]])</f>
        <v>16159</v>
      </c>
    </row>
    <row r="264" spans="1:11" x14ac:dyDescent="0.35">
      <c r="A264" s="73">
        <v>45871</v>
      </c>
      <c r="B264" t="s">
        <v>171</v>
      </c>
      <c r="C264" s="3">
        <v>350</v>
      </c>
      <c r="E264" s="3">
        <v>53692.34</v>
      </c>
      <c r="F264" t="str">
        <f>TEXT(Account_Data[[#This Row],[Date]],"mmm-yyyy")</f>
        <v>Aug-2025</v>
      </c>
      <c r="G264" t="str">
        <f>IF(Account_Data[[#This Row],[Credit]]&gt;0,"Income","Expense")</f>
        <v>Expense</v>
      </c>
      <c r="H2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64" s="3">
        <f>Account_Data[[#This Row],[Credit]]-Account_Data[[#This Row],[Debit]]</f>
        <v>-350</v>
      </c>
      <c r="J264" s="7">
        <f>EOMONTH(Account_Data[[#This Row],[Date]],0)</f>
        <v>45900</v>
      </c>
      <c r="K264">
        <f>ABS(Account_Data[[#This Row],[Amount]])</f>
        <v>350</v>
      </c>
    </row>
    <row r="265" spans="1:11" x14ac:dyDescent="0.35">
      <c r="A265" s="73">
        <v>45871</v>
      </c>
      <c r="B265" t="s">
        <v>91</v>
      </c>
      <c r="C265" s="3">
        <v>7717</v>
      </c>
      <c r="E265" s="3">
        <v>45975.34</v>
      </c>
      <c r="F265" t="str">
        <f>TEXT(Account_Data[[#This Row],[Date]],"mmm-yyyy")</f>
        <v>Aug-2025</v>
      </c>
      <c r="G265" t="str">
        <f>IF(Account_Data[[#This Row],[Credit]]&gt;0,"Income","Expense")</f>
        <v>Expense</v>
      </c>
      <c r="H2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65" s="3">
        <f>Account_Data[[#This Row],[Credit]]-Account_Data[[#This Row],[Debit]]</f>
        <v>-7717</v>
      </c>
      <c r="J265" s="7">
        <f>EOMONTH(Account_Data[[#This Row],[Date]],0)</f>
        <v>45900</v>
      </c>
      <c r="K265">
        <f>ABS(Account_Data[[#This Row],[Amount]])</f>
        <v>7717</v>
      </c>
    </row>
    <row r="266" spans="1:11" x14ac:dyDescent="0.35">
      <c r="A266" s="73">
        <v>45871</v>
      </c>
      <c r="B266" t="s">
        <v>91</v>
      </c>
      <c r="C266" s="3">
        <v>8704</v>
      </c>
      <c r="E266" s="3">
        <v>37271.339999999997</v>
      </c>
      <c r="F266" t="str">
        <f>TEXT(Account_Data[[#This Row],[Date]],"mmm-yyyy")</f>
        <v>Aug-2025</v>
      </c>
      <c r="G266" t="str">
        <f>IF(Account_Data[[#This Row],[Credit]]&gt;0,"Income","Expense")</f>
        <v>Expense</v>
      </c>
      <c r="H2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66" s="3">
        <f>Account_Data[[#This Row],[Credit]]-Account_Data[[#This Row],[Debit]]</f>
        <v>-8704</v>
      </c>
      <c r="J266" s="7">
        <f>EOMONTH(Account_Data[[#This Row],[Date]],0)</f>
        <v>45900</v>
      </c>
      <c r="K266">
        <f>ABS(Account_Data[[#This Row],[Amount]])</f>
        <v>8704</v>
      </c>
    </row>
    <row r="267" spans="1:11" x14ac:dyDescent="0.35">
      <c r="A267" s="73">
        <v>45871</v>
      </c>
      <c r="B267" t="s">
        <v>90</v>
      </c>
      <c r="C267" s="3">
        <v>1500</v>
      </c>
      <c r="E267" s="3">
        <v>35771.339999999997</v>
      </c>
      <c r="F267" t="str">
        <f>TEXT(Account_Data[[#This Row],[Date]],"mmm-yyyy")</f>
        <v>Aug-2025</v>
      </c>
      <c r="G267" t="str">
        <f>IF(Account_Data[[#This Row],[Credit]]&gt;0,"Income","Expense")</f>
        <v>Expense</v>
      </c>
      <c r="H2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267" s="3">
        <f>Account_Data[[#This Row],[Credit]]-Account_Data[[#This Row],[Debit]]</f>
        <v>-1500</v>
      </c>
      <c r="J267" s="7">
        <f>EOMONTH(Account_Data[[#This Row],[Date]],0)</f>
        <v>45900</v>
      </c>
      <c r="K267">
        <f>ABS(Account_Data[[#This Row],[Amount]])</f>
        <v>1500</v>
      </c>
    </row>
    <row r="268" spans="1:11" x14ac:dyDescent="0.35">
      <c r="A268" s="73">
        <v>45871</v>
      </c>
      <c r="B268" t="s">
        <v>255</v>
      </c>
      <c r="C268" s="3">
        <v>1475</v>
      </c>
      <c r="E268" s="3">
        <v>34296.339999999997</v>
      </c>
      <c r="F268" t="str">
        <f>TEXT(Account_Data[[#This Row],[Date]],"mmm-yyyy")</f>
        <v>Aug-2025</v>
      </c>
      <c r="G268" t="str">
        <f>IF(Account_Data[[#This Row],[Credit]]&gt;0,"Income","Expense")</f>
        <v>Expense</v>
      </c>
      <c r="H2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68" s="3">
        <f>Account_Data[[#This Row],[Credit]]-Account_Data[[#This Row],[Debit]]</f>
        <v>-1475</v>
      </c>
      <c r="J268" s="7">
        <f>EOMONTH(Account_Data[[#This Row],[Date]],0)</f>
        <v>45900</v>
      </c>
      <c r="K268">
        <f>ABS(Account_Data[[#This Row],[Amount]])</f>
        <v>1475</v>
      </c>
    </row>
    <row r="269" spans="1:11" x14ac:dyDescent="0.35">
      <c r="A269" s="73">
        <v>45871</v>
      </c>
      <c r="B269" t="s">
        <v>256</v>
      </c>
      <c r="C269" s="3">
        <v>900</v>
      </c>
      <c r="E269" s="3">
        <v>33396.339999999997</v>
      </c>
      <c r="F269" t="str">
        <f>TEXT(Account_Data[[#This Row],[Date]],"mmm-yyyy")</f>
        <v>Aug-2025</v>
      </c>
      <c r="G269" t="str">
        <f>IF(Account_Data[[#This Row],[Credit]]&gt;0,"Income","Expense")</f>
        <v>Expense</v>
      </c>
      <c r="H2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69" s="3">
        <f>Account_Data[[#This Row],[Credit]]-Account_Data[[#This Row],[Debit]]</f>
        <v>-900</v>
      </c>
      <c r="J269" s="7">
        <f>EOMONTH(Account_Data[[#This Row],[Date]],0)</f>
        <v>45900</v>
      </c>
      <c r="K269">
        <f>ABS(Account_Data[[#This Row],[Amount]])</f>
        <v>900</v>
      </c>
    </row>
    <row r="270" spans="1:11" x14ac:dyDescent="0.35">
      <c r="A270" s="73">
        <v>45871</v>
      </c>
      <c r="B270" t="s">
        <v>170</v>
      </c>
      <c r="C270" s="3">
        <v>1000</v>
      </c>
      <c r="E270" s="3">
        <v>32396.34</v>
      </c>
      <c r="F270" t="str">
        <f>TEXT(Account_Data[[#This Row],[Date]],"mmm-yyyy")</f>
        <v>Aug-2025</v>
      </c>
      <c r="G270" t="str">
        <f>IF(Account_Data[[#This Row],[Credit]]&gt;0,"Income","Expense")</f>
        <v>Expense</v>
      </c>
      <c r="H2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0" s="3">
        <f>Account_Data[[#This Row],[Credit]]-Account_Data[[#This Row],[Debit]]</f>
        <v>-1000</v>
      </c>
      <c r="J270" s="7">
        <f>EOMONTH(Account_Data[[#This Row],[Date]],0)</f>
        <v>45900</v>
      </c>
      <c r="K270">
        <f>ABS(Account_Data[[#This Row],[Amount]])</f>
        <v>1000</v>
      </c>
    </row>
    <row r="271" spans="1:11" x14ac:dyDescent="0.35">
      <c r="A271" s="73">
        <v>45871</v>
      </c>
      <c r="B271" t="s">
        <v>257</v>
      </c>
      <c r="C271" s="3">
        <v>20000</v>
      </c>
      <c r="E271" s="3">
        <v>12396.34</v>
      </c>
      <c r="F271" t="str">
        <f>TEXT(Account_Data[[#This Row],[Date]],"mmm-yyyy")</f>
        <v>Aug-2025</v>
      </c>
      <c r="G271" t="str">
        <f>IF(Account_Data[[#This Row],[Credit]]&gt;0,"Income","Expense")</f>
        <v>Expense</v>
      </c>
      <c r="H2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271" s="3">
        <f>Account_Data[[#This Row],[Credit]]-Account_Data[[#This Row],[Debit]]</f>
        <v>-20000</v>
      </c>
      <c r="J271" s="7">
        <f>EOMONTH(Account_Data[[#This Row],[Date]],0)</f>
        <v>45900</v>
      </c>
      <c r="K271">
        <f>ABS(Account_Data[[#This Row],[Amount]])</f>
        <v>20000</v>
      </c>
    </row>
    <row r="272" spans="1:11" x14ac:dyDescent="0.35">
      <c r="A272" s="73">
        <v>45871</v>
      </c>
      <c r="B272" t="s">
        <v>153</v>
      </c>
      <c r="C272" s="3">
        <v>10</v>
      </c>
      <c r="E272" s="3">
        <v>12386.34</v>
      </c>
      <c r="F272" t="str">
        <f>TEXT(Account_Data[[#This Row],[Date]],"mmm-yyyy")</f>
        <v>Aug-2025</v>
      </c>
      <c r="G272" t="str">
        <f>IF(Account_Data[[#This Row],[Credit]]&gt;0,"Income","Expense")</f>
        <v>Expense</v>
      </c>
      <c r="H2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2" s="3">
        <f>Account_Data[[#This Row],[Credit]]-Account_Data[[#This Row],[Debit]]</f>
        <v>-10</v>
      </c>
      <c r="J272" s="7">
        <f>EOMONTH(Account_Data[[#This Row],[Date]],0)</f>
        <v>45900</v>
      </c>
      <c r="K272">
        <f>ABS(Account_Data[[#This Row],[Amount]])</f>
        <v>10</v>
      </c>
    </row>
    <row r="273" spans="1:11" x14ac:dyDescent="0.35">
      <c r="A273" s="73">
        <v>45872</v>
      </c>
      <c r="B273" t="s">
        <v>258</v>
      </c>
      <c r="C273" s="3">
        <v>157</v>
      </c>
      <c r="E273" s="3">
        <v>12229.34</v>
      </c>
      <c r="F273" t="str">
        <f>TEXT(Account_Data[[#This Row],[Date]],"mmm-yyyy")</f>
        <v>Aug-2025</v>
      </c>
      <c r="G273" t="str">
        <f>IF(Account_Data[[#This Row],[Credit]]&gt;0,"Income","Expense")</f>
        <v>Expense</v>
      </c>
      <c r="H2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3" s="3">
        <f>Account_Data[[#This Row],[Credit]]-Account_Data[[#This Row],[Debit]]</f>
        <v>-157</v>
      </c>
      <c r="J273" s="7">
        <f>EOMONTH(Account_Data[[#This Row],[Date]],0)</f>
        <v>45900</v>
      </c>
      <c r="K273">
        <f>ABS(Account_Data[[#This Row],[Amount]])</f>
        <v>157</v>
      </c>
    </row>
    <row r="274" spans="1:11" x14ac:dyDescent="0.35">
      <c r="A274" s="73">
        <v>45872</v>
      </c>
      <c r="B274" t="s">
        <v>259</v>
      </c>
      <c r="C274" s="3">
        <v>900</v>
      </c>
      <c r="E274" s="3">
        <v>11329.34</v>
      </c>
      <c r="F274" t="str">
        <f>TEXT(Account_Data[[#This Row],[Date]],"mmm-yyyy")</f>
        <v>Aug-2025</v>
      </c>
      <c r="G274" t="str">
        <f>IF(Account_Data[[#This Row],[Credit]]&gt;0,"Income","Expense")</f>
        <v>Expense</v>
      </c>
      <c r="H2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4" s="3">
        <f>Account_Data[[#This Row],[Credit]]-Account_Data[[#This Row],[Debit]]</f>
        <v>-900</v>
      </c>
      <c r="J274" s="7">
        <f>EOMONTH(Account_Data[[#This Row],[Date]],0)</f>
        <v>45900</v>
      </c>
      <c r="K274">
        <f>ABS(Account_Data[[#This Row],[Amount]])</f>
        <v>900</v>
      </c>
    </row>
    <row r="275" spans="1:11" x14ac:dyDescent="0.35">
      <c r="A275" s="73">
        <v>45872</v>
      </c>
      <c r="B275" t="s">
        <v>260</v>
      </c>
      <c r="C275" s="3">
        <v>580</v>
      </c>
      <c r="E275" s="3">
        <v>10749.34</v>
      </c>
      <c r="F275" t="str">
        <f>TEXT(Account_Data[[#This Row],[Date]],"mmm-yyyy")</f>
        <v>Aug-2025</v>
      </c>
      <c r="G275" t="str">
        <f>IF(Account_Data[[#This Row],[Credit]]&gt;0,"Income","Expense")</f>
        <v>Expense</v>
      </c>
      <c r="H2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5" s="3">
        <f>Account_Data[[#This Row],[Credit]]-Account_Data[[#This Row],[Debit]]</f>
        <v>-580</v>
      </c>
      <c r="J275" s="7">
        <f>EOMONTH(Account_Data[[#This Row],[Date]],0)</f>
        <v>45900</v>
      </c>
      <c r="K275">
        <f>ABS(Account_Data[[#This Row],[Amount]])</f>
        <v>580</v>
      </c>
    </row>
    <row r="276" spans="1:11" x14ac:dyDescent="0.35">
      <c r="A276" s="73">
        <v>45872</v>
      </c>
      <c r="B276" t="s">
        <v>260</v>
      </c>
      <c r="C276" s="3">
        <v>140</v>
      </c>
      <c r="E276" s="3">
        <v>10609.34</v>
      </c>
      <c r="F276" t="str">
        <f>TEXT(Account_Data[[#This Row],[Date]],"mmm-yyyy")</f>
        <v>Aug-2025</v>
      </c>
      <c r="G276" t="str">
        <f>IF(Account_Data[[#This Row],[Credit]]&gt;0,"Income","Expense")</f>
        <v>Expense</v>
      </c>
      <c r="H2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6" s="3">
        <f>Account_Data[[#This Row],[Credit]]-Account_Data[[#This Row],[Debit]]</f>
        <v>-140</v>
      </c>
      <c r="J276" s="7">
        <f>EOMONTH(Account_Data[[#This Row],[Date]],0)</f>
        <v>45900</v>
      </c>
      <c r="K276">
        <f>ABS(Account_Data[[#This Row],[Amount]])</f>
        <v>140</v>
      </c>
    </row>
    <row r="277" spans="1:11" x14ac:dyDescent="0.35">
      <c r="A277" s="73">
        <v>45872</v>
      </c>
      <c r="B277" t="s">
        <v>261</v>
      </c>
      <c r="C277" s="3">
        <v>530</v>
      </c>
      <c r="E277" s="3">
        <v>10079.34</v>
      </c>
      <c r="F277" t="str">
        <f>TEXT(Account_Data[[#This Row],[Date]],"mmm-yyyy")</f>
        <v>Aug-2025</v>
      </c>
      <c r="G277" t="str">
        <f>IF(Account_Data[[#This Row],[Credit]]&gt;0,"Income","Expense")</f>
        <v>Expense</v>
      </c>
      <c r="H2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7" s="3">
        <f>Account_Data[[#This Row],[Credit]]-Account_Data[[#This Row],[Debit]]</f>
        <v>-530</v>
      </c>
      <c r="J277" s="7">
        <f>EOMONTH(Account_Data[[#This Row],[Date]],0)</f>
        <v>45900</v>
      </c>
      <c r="K277">
        <f>ABS(Account_Data[[#This Row],[Amount]])</f>
        <v>530</v>
      </c>
    </row>
    <row r="278" spans="1:11" x14ac:dyDescent="0.35">
      <c r="A278" s="73">
        <v>45872</v>
      </c>
      <c r="B278" t="s">
        <v>262</v>
      </c>
      <c r="C278" s="3">
        <v>2221</v>
      </c>
      <c r="E278" s="3">
        <v>7858.34</v>
      </c>
      <c r="F278" t="str">
        <f>TEXT(Account_Data[[#This Row],[Date]],"mmm-yyyy")</f>
        <v>Aug-2025</v>
      </c>
      <c r="G278" t="str">
        <f>IF(Account_Data[[#This Row],[Credit]]&gt;0,"Income","Expense")</f>
        <v>Expense</v>
      </c>
      <c r="H2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78" s="3">
        <f>Account_Data[[#This Row],[Credit]]-Account_Data[[#This Row],[Debit]]</f>
        <v>-2221</v>
      </c>
      <c r="J278" s="7">
        <f>EOMONTH(Account_Data[[#This Row],[Date]],0)</f>
        <v>45900</v>
      </c>
      <c r="K278">
        <f>ABS(Account_Data[[#This Row],[Amount]])</f>
        <v>2221</v>
      </c>
    </row>
    <row r="279" spans="1:11" x14ac:dyDescent="0.35">
      <c r="A279" s="73">
        <v>45873</v>
      </c>
      <c r="B279" t="s">
        <v>91</v>
      </c>
      <c r="C279" s="3">
        <v>6280</v>
      </c>
      <c r="E279" s="3">
        <v>1578.34</v>
      </c>
      <c r="F279" t="str">
        <f>TEXT(Account_Data[[#This Row],[Date]],"mmm-yyyy")</f>
        <v>Aug-2025</v>
      </c>
      <c r="G279" t="str">
        <f>IF(Account_Data[[#This Row],[Credit]]&gt;0,"Income","Expense")</f>
        <v>Expense</v>
      </c>
      <c r="H2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279" s="3">
        <f>Account_Data[[#This Row],[Credit]]-Account_Data[[#This Row],[Debit]]</f>
        <v>-6280</v>
      </c>
      <c r="J279" s="7">
        <f>EOMONTH(Account_Data[[#This Row],[Date]],0)</f>
        <v>45900</v>
      </c>
      <c r="K279">
        <f>ABS(Account_Data[[#This Row],[Amount]])</f>
        <v>6280</v>
      </c>
    </row>
    <row r="280" spans="1:11" x14ac:dyDescent="0.35">
      <c r="A280" s="73">
        <v>45874</v>
      </c>
      <c r="B280" t="s">
        <v>146</v>
      </c>
      <c r="C280" s="3">
        <v>50</v>
      </c>
      <c r="E280" s="3">
        <v>1528.34</v>
      </c>
      <c r="F280" t="str">
        <f>TEXT(Account_Data[[#This Row],[Date]],"mmm-yyyy")</f>
        <v>Aug-2025</v>
      </c>
      <c r="G280" t="str">
        <f>IF(Account_Data[[#This Row],[Credit]]&gt;0,"Income","Expense")</f>
        <v>Expense</v>
      </c>
      <c r="H2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0" s="3">
        <f>Account_Data[[#This Row],[Credit]]-Account_Data[[#This Row],[Debit]]</f>
        <v>-50</v>
      </c>
      <c r="J280" s="7">
        <f>EOMONTH(Account_Data[[#This Row],[Date]],0)</f>
        <v>45900</v>
      </c>
      <c r="K280">
        <f>ABS(Account_Data[[#This Row],[Amount]])</f>
        <v>50</v>
      </c>
    </row>
    <row r="281" spans="1:11" x14ac:dyDescent="0.35">
      <c r="A281" s="73">
        <v>45874</v>
      </c>
      <c r="B281" t="s">
        <v>252</v>
      </c>
      <c r="C281" s="3">
        <v>20</v>
      </c>
      <c r="E281" s="3">
        <v>1508.34</v>
      </c>
      <c r="F281" t="str">
        <f>TEXT(Account_Data[[#This Row],[Date]],"mmm-yyyy")</f>
        <v>Aug-2025</v>
      </c>
      <c r="G281" t="str">
        <f>IF(Account_Data[[#This Row],[Credit]]&gt;0,"Income","Expense")</f>
        <v>Expense</v>
      </c>
      <c r="H2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1" s="3">
        <f>Account_Data[[#This Row],[Credit]]-Account_Data[[#This Row],[Debit]]</f>
        <v>-20</v>
      </c>
      <c r="J281" s="7">
        <f>EOMONTH(Account_Data[[#This Row],[Date]],0)</f>
        <v>45900</v>
      </c>
      <c r="K281">
        <f>ABS(Account_Data[[#This Row],[Amount]])</f>
        <v>20</v>
      </c>
    </row>
    <row r="282" spans="1:11" x14ac:dyDescent="0.35">
      <c r="A282" s="73">
        <v>45875</v>
      </c>
      <c r="B282" t="s">
        <v>153</v>
      </c>
      <c r="C282" s="3">
        <v>10</v>
      </c>
      <c r="E282" s="3">
        <v>1498.34</v>
      </c>
      <c r="F282" t="str">
        <f>TEXT(Account_Data[[#This Row],[Date]],"mmm-yyyy")</f>
        <v>Aug-2025</v>
      </c>
      <c r="G282" t="str">
        <f>IF(Account_Data[[#This Row],[Credit]]&gt;0,"Income","Expense")</f>
        <v>Expense</v>
      </c>
      <c r="H2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2" s="3">
        <f>Account_Data[[#This Row],[Credit]]-Account_Data[[#This Row],[Debit]]</f>
        <v>-10</v>
      </c>
      <c r="J282" s="7">
        <f>EOMONTH(Account_Data[[#This Row],[Date]],0)</f>
        <v>45900</v>
      </c>
      <c r="K282">
        <f>ABS(Account_Data[[#This Row],[Amount]])</f>
        <v>10</v>
      </c>
    </row>
    <row r="283" spans="1:11" x14ac:dyDescent="0.35">
      <c r="A283" s="73">
        <v>45877</v>
      </c>
      <c r="B283" t="s">
        <v>118</v>
      </c>
      <c r="D283" s="3">
        <v>25000</v>
      </c>
      <c r="E283" s="3">
        <v>26498.34</v>
      </c>
      <c r="F283" t="str">
        <f>TEXT(Account_Data[[#This Row],[Date]],"mmm-yyyy")</f>
        <v>Aug-2025</v>
      </c>
      <c r="G283" t="str">
        <f>IF(Account_Data[[#This Row],[Credit]]&gt;0,"Income","Expense")</f>
        <v>Income</v>
      </c>
      <c r="H2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3" s="3">
        <f>Account_Data[[#This Row],[Credit]]-Account_Data[[#This Row],[Debit]]</f>
        <v>25000</v>
      </c>
      <c r="J283" s="7">
        <f>EOMONTH(Account_Data[[#This Row],[Date]],0)</f>
        <v>45900</v>
      </c>
      <c r="K283">
        <f>ABS(Account_Data[[#This Row],[Amount]])</f>
        <v>25000</v>
      </c>
    </row>
    <row r="284" spans="1:11" x14ac:dyDescent="0.35">
      <c r="A284" s="73">
        <v>45877</v>
      </c>
      <c r="B284" t="s">
        <v>153</v>
      </c>
      <c r="C284" s="3">
        <v>10</v>
      </c>
      <c r="E284" s="3">
        <v>26488.34</v>
      </c>
      <c r="F284" t="str">
        <f>TEXT(Account_Data[[#This Row],[Date]],"mmm-yyyy")</f>
        <v>Aug-2025</v>
      </c>
      <c r="G284" t="str">
        <f>IF(Account_Data[[#This Row],[Credit]]&gt;0,"Income","Expense")</f>
        <v>Expense</v>
      </c>
      <c r="H2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4" s="3">
        <f>Account_Data[[#This Row],[Credit]]-Account_Data[[#This Row],[Debit]]</f>
        <v>-10</v>
      </c>
      <c r="J284" s="7">
        <f>EOMONTH(Account_Data[[#This Row],[Date]],0)</f>
        <v>45900</v>
      </c>
      <c r="K284">
        <f>ABS(Account_Data[[#This Row],[Amount]])</f>
        <v>10</v>
      </c>
    </row>
    <row r="285" spans="1:11" x14ac:dyDescent="0.35">
      <c r="A285" s="73">
        <v>45878</v>
      </c>
      <c r="B285" t="s">
        <v>234</v>
      </c>
      <c r="C285" s="3">
        <v>199</v>
      </c>
      <c r="E285" s="3">
        <v>26289.34</v>
      </c>
      <c r="F285" t="str">
        <f>TEXT(Account_Data[[#This Row],[Date]],"mmm-yyyy")</f>
        <v>Aug-2025</v>
      </c>
      <c r="G285" t="str">
        <f>IF(Account_Data[[#This Row],[Credit]]&gt;0,"Income","Expense")</f>
        <v>Expense</v>
      </c>
      <c r="H2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5" s="3">
        <f>Account_Data[[#This Row],[Credit]]-Account_Data[[#This Row],[Debit]]</f>
        <v>-199</v>
      </c>
      <c r="J285" s="7">
        <f>EOMONTH(Account_Data[[#This Row],[Date]],0)</f>
        <v>45900</v>
      </c>
      <c r="K285">
        <f>ABS(Account_Data[[#This Row],[Amount]])</f>
        <v>199</v>
      </c>
    </row>
    <row r="286" spans="1:11" x14ac:dyDescent="0.35">
      <c r="A286" s="73">
        <v>45878</v>
      </c>
      <c r="B286" t="s">
        <v>263</v>
      </c>
      <c r="C286" s="3">
        <v>1439.15</v>
      </c>
      <c r="E286" s="3">
        <v>24850.19</v>
      </c>
      <c r="F286" t="str">
        <f>TEXT(Account_Data[[#This Row],[Date]],"mmm-yyyy")</f>
        <v>Aug-2025</v>
      </c>
      <c r="G286" t="str">
        <f>IF(Account_Data[[#This Row],[Credit]]&gt;0,"Income","Expense")</f>
        <v>Expense</v>
      </c>
      <c r="H2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6" s="3">
        <f>Account_Data[[#This Row],[Credit]]-Account_Data[[#This Row],[Debit]]</f>
        <v>-1439.15</v>
      </c>
      <c r="J286" s="7">
        <f>EOMONTH(Account_Data[[#This Row],[Date]],0)</f>
        <v>45900</v>
      </c>
      <c r="K286">
        <f>ABS(Account_Data[[#This Row],[Amount]])</f>
        <v>1439.15</v>
      </c>
    </row>
    <row r="287" spans="1:11" x14ac:dyDescent="0.35">
      <c r="A287" s="73">
        <v>45878</v>
      </c>
      <c r="B287" t="s">
        <v>119</v>
      </c>
      <c r="D287" s="3">
        <v>59.52</v>
      </c>
      <c r="E287" s="3">
        <v>24909.71</v>
      </c>
      <c r="F287" t="str">
        <f>TEXT(Account_Data[[#This Row],[Date]],"mmm-yyyy")</f>
        <v>Aug-2025</v>
      </c>
      <c r="G287" t="str">
        <f>IF(Account_Data[[#This Row],[Credit]]&gt;0,"Income","Expense")</f>
        <v>Income</v>
      </c>
      <c r="H2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287" s="3">
        <f>Account_Data[[#This Row],[Credit]]-Account_Data[[#This Row],[Debit]]</f>
        <v>59.52</v>
      </c>
      <c r="J287" s="7">
        <f>EOMONTH(Account_Data[[#This Row],[Date]],0)</f>
        <v>45900</v>
      </c>
      <c r="K287">
        <f>ABS(Account_Data[[#This Row],[Amount]])</f>
        <v>59.52</v>
      </c>
    </row>
    <row r="288" spans="1:11" x14ac:dyDescent="0.35">
      <c r="A288" s="73">
        <v>45878</v>
      </c>
      <c r="B288" t="s">
        <v>153</v>
      </c>
      <c r="C288" s="3">
        <v>10</v>
      </c>
      <c r="E288" s="3">
        <v>24899.71</v>
      </c>
      <c r="F288" t="str">
        <f>TEXT(Account_Data[[#This Row],[Date]],"mmm-yyyy")</f>
        <v>Aug-2025</v>
      </c>
      <c r="G288" t="str">
        <f>IF(Account_Data[[#This Row],[Credit]]&gt;0,"Income","Expense")</f>
        <v>Expense</v>
      </c>
      <c r="H2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8" s="3">
        <f>Account_Data[[#This Row],[Credit]]-Account_Data[[#This Row],[Debit]]</f>
        <v>-10</v>
      </c>
      <c r="J288" s="7">
        <f>EOMONTH(Account_Data[[#This Row],[Date]],0)</f>
        <v>45900</v>
      </c>
      <c r="K288">
        <f>ABS(Account_Data[[#This Row],[Amount]])</f>
        <v>10</v>
      </c>
    </row>
    <row r="289" spans="1:11" x14ac:dyDescent="0.35">
      <c r="A289" s="73">
        <v>45879</v>
      </c>
      <c r="B289" t="s">
        <v>264</v>
      </c>
      <c r="C289" s="3">
        <v>2100</v>
      </c>
      <c r="E289" s="3">
        <v>22799.71</v>
      </c>
      <c r="F289" t="str">
        <f>TEXT(Account_Data[[#This Row],[Date]],"mmm-yyyy")</f>
        <v>Aug-2025</v>
      </c>
      <c r="G289" t="str">
        <f>IF(Account_Data[[#This Row],[Credit]]&gt;0,"Income","Expense")</f>
        <v>Expense</v>
      </c>
      <c r="H2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89" s="3">
        <f>Account_Data[[#This Row],[Credit]]-Account_Data[[#This Row],[Debit]]</f>
        <v>-2100</v>
      </c>
      <c r="J289" s="7">
        <f>EOMONTH(Account_Data[[#This Row],[Date]],0)</f>
        <v>45900</v>
      </c>
      <c r="K289">
        <f>ABS(Account_Data[[#This Row],[Amount]])</f>
        <v>2100</v>
      </c>
    </row>
    <row r="290" spans="1:11" x14ac:dyDescent="0.35">
      <c r="A290" s="73">
        <v>45879</v>
      </c>
      <c r="B290" t="s">
        <v>191</v>
      </c>
      <c r="C290" s="3">
        <v>15000</v>
      </c>
      <c r="E290" s="3">
        <v>7799.71</v>
      </c>
      <c r="F290" t="str">
        <f>TEXT(Account_Data[[#This Row],[Date]],"mmm-yyyy")</f>
        <v>Aug-2025</v>
      </c>
      <c r="G290" t="str">
        <f>IF(Account_Data[[#This Row],[Credit]]&gt;0,"Income","Expense")</f>
        <v>Expense</v>
      </c>
      <c r="H2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0" s="3">
        <f>Account_Data[[#This Row],[Credit]]-Account_Data[[#This Row],[Debit]]</f>
        <v>-15000</v>
      </c>
      <c r="J290" s="7">
        <f>EOMONTH(Account_Data[[#This Row],[Date]],0)</f>
        <v>45900</v>
      </c>
      <c r="K290">
        <f>ABS(Account_Data[[#This Row],[Amount]])</f>
        <v>15000</v>
      </c>
    </row>
    <row r="291" spans="1:11" x14ac:dyDescent="0.35">
      <c r="A291" s="73">
        <v>45879</v>
      </c>
      <c r="B291" t="s">
        <v>153</v>
      </c>
      <c r="C291" s="3">
        <v>12</v>
      </c>
      <c r="E291" s="3">
        <v>7787.71</v>
      </c>
      <c r="F291" t="str">
        <f>TEXT(Account_Data[[#This Row],[Date]],"mmm-yyyy")</f>
        <v>Aug-2025</v>
      </c>
      <c r="G291" t="str">
        <f>IF(Account_Data[[#This Row],[Credit]]&gt;0,"Income","Expense")</f>
        <v>Expense</v>
      </c>
      <c r="H2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1" s="3">
        <f>Account_Data[[#This Row],[Credit]]-Account_Data[[#This Row],[Debit]]</f>
        <v>-12</v>
      </c>
      <c r="J291" s="7">
        <f>EOMONTH(Account_Data[[#This Row],[Date]],0)</f>
        <v>45900</v>
      </c>
      <c r="K291">
        <f>ABS(Account_Data[[#This Row],[Amount]])</f>
        <v>12</v>
      </c>
    </row>
    <row r="292" spans="1:11" x14ac:dyDescent="0.35">
      <c r="A292" s="73">
        <v>45880</v>
      </c>
      <c r="B292" t="s">
        <v>153</v>
      </c>
      <c r="C292" s="3">
        <v>11</v>
      </c>
      <c r="E292" s="3">
        <v>7776.71</v>
      </c>
      <c r="F292" t="str">
        <f>TEXT(Account_Data[[#This Row],[Date]],"mmm-yyyy")</f>
        <v>Aug-2025</v>
      </c>
      <c r="G292" t="str">
        <f>IF(Account_Data[[#This Row],[Credit]]&gt;0,"Income","Expense")</f>
        <v>Expense</v>
      </c>
      <c r="H2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2" s="3">
        <f>Account_Data[[#This Row],[Credit]]-Account_Data[[#This Row],[Debit]]</f>
        <v>-11</v>
      </c>
      <c r="J292" s="7">
        <f>EOMONTH(Account_Data[[#This Row],[Date]],0)</f>
        <v>45900</v>
      </c>
      <c r="K292">
        <f>ABS(Account_Data[[#This Row],[Amount]])</f>
        <v>11</v>
      </c>
    </row>
    <row r="293" spans="1:11" x14ac:dyDescent="0.35">
      <c r="A293" s="73">
        <v>45881</v>
      </c>
      <c r="B293" t="s">
        <v>153</v>
      </c>
      <c r="C293" s="3">
        <v>10</v>
      </c>
      <c r="E293" s="3">
        <v>7766.71</v>
      </c>
      <c r="F293" t="str">
        <f>TEXT(Account_Data[[#This Row],[Date]],"mmm-yyyy")</f>
        <v>Aug-2025</v>
      </c>
      <c r="G293" t="str">
        <f>IF(Account_Data[[#This Row],[Credit]]&gt;0,"Income","Expense")</f>
        <v>Expense</v>
      </c>
      <c r="H2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3" s="3">
        <f>Account_Data[[#This Row],[Credit]]-Account_Data[[#This Row],[Debit]]</f>
        <v>-10</v>
      </c>
      <c r="J293" s="7">
        <f>EOMONTH(Account_Data[[#This Row],[Date]],0)</f>
        <v>45900</v>
      </c>
      <c r="K293">
        <f>ABS(Account_Data[[#This Row],[Amount]])</f>
        <v>10</v>
      </c>
    </row>
    <row r="294" spans="1:11" x14ac:dyDescent="0.35">
      <c r="A294" s="73">
        <v>45881</v>
      </c>
      <c r="B294" t="s">
        <v>198</v>
      </c>
      <c r="C294" s="3">
        <v>424</v>
      </c>
      <c r="E294" s="3">
        <v>7342.71</v>
      </c>
      <c r="F294" t="str">
        <f>TEXT(Account_Data[[#This Row],[Date]],"mmm-yyyy")</f>
        <v>Aug-2025</v>
      </c>
      <c r="G294" t="str">
        <f>IF(Account_Data[[#This Row],[Credit]]&gt;0,"Income","Expense")</f>
        <v>Expense</v>
      </c>
      <c r="H2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4" s="3">
        <f>Account_Data[[#This Row],[Credit]]-Account_Data[[#This Row],[Debit]]</f>
        <v>-424</v>
      </c>
      <c r="J294" s="7">
        <f>EOMONTH(Account_Data[[#This Row],[Date]],0)</f>
        <v>45900</v>
      </c>
      <c r="K294">
        <f>ABS(Account_Data[[#This Row],[Amount]])</f>
        <v>424</v>
      </c>
    </row>
    <row r="295" spans="1:11" x14ac:dyDescent="0.35">
      <c r="A295" s="73">
        <v>45881</v>
      </c>
      <c r="B295" t="s">
        <v>153</v>
      </c>
      <c r="C295" s="3">
        <v>12</v>
      </c>
      <c r="E295" s="3">
        <v>7330.71</v>
      </c>
      <c r="F295" t="str">
        <f>TEXT(Account_Data[[#This Row],[Date]],"mmm-yyyy")</f>
        <v>Aug-2025</v>
      </c>
      <c r="G295" t="str">
        <f>IF(Account_Data[[#This Row],[Credit]]&gt;0,"Income","Expense")</f>
        <v>Expense</v>
      </c>
      <c r="H2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5" s="3">
        <f>Account_Data[[#This Row],[Credit]]-Account_Data[[#This Row],[Debit]]</f>
        <v>-12</v>
      </c>
      <c r="J295" s="7">
        <f>EOMONTH(Account_Data[[#This Row],[Date]],0)</f>
        <v>45900</v>
      </c>
      <c r="K295">
        <f>ABS(Account_Data[[#This Row],[Amount]])</f>
        <v>12</v>
      </c>
    </row>
    <row r="296" spans="1:11" x14ac:dyDescent="0.35">
      <c r="A296" s="73">
        <v>45882</v>
      </c>
      <c r="B296" t="s">
        <v>153</v>
      </c>
      <c r="C296" s="3">
        <v>11</v>
      </c>
      <c r="E296" s="3">
        <v>7319.71</v>
      </c>
      <c r="F296" t="str">
        <f>TEXT(Account_Data[[#This Row],[Date]],"mmm-yyyy")</f>
        <v>Aug-2025</v>
      </c>
      <c r="G296" t="str">
        <f>IF(Account_Data[[#This Row],[Credit]]&gt;0,"Income","Expense")</f>
        <v>Expense</v>
      </c>
      <c r="H2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6" s="3">
        <f>Account_Data[[#This Row],[Credit]]-Account_Data[[#This Row],[Debit]]</f>
        <v>-11</v>
      </c>
      <c r="J296" s="7">
        <f>EOMONTH(Account_Data[[#This Row],[Date]],0)</f>
        <v>45900</v>
      </c>
      <c r="K296">
        <f>ABS(Account_Data[[#This Row],[Amount]])</f>
        <v>11</v>
      </c>
    </row>
    <row r="297" spans="1:11" x14ac:dyDescent="0.35">
      <c r="A297" s="73">
        <v>45882</v>
      </c>
      <c r="B297" t="s">
        <v>153</v>
      </c>
      <c r="C297" s="3">
        <v>11</v>
      </c>
      <c r="E297" s="3">
        <v>7308.71</v>
      </c>
      <c r="F297" t="str">
        <f>TEXT(Account_Data[[#This Row],[Date]],"mmm-yyyy")</f>
        <v>Aug-2025</v>
      </c>
      <c r="G297" t="str">
        <f>IF(Account_Data[[#This Row],[Credit]]&gt;0,"Income","Expense")</f>
        <v>Expense</v>
      </c>
      <c r="H2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7" s="3">
        <f>Account_Data[[#This Row],[Credit]]-Account_Data[[#This Row],[Debit]]</f>
        <v>-11</v>
      </c>
      <c r="J297" s="7">
        <f>EOMONTH(Account_Data[[#This Row],[Date]],0)</f>
        <v>45900</v>
      </c>
      <c r="K297">
        <f>ABS(Account_Data[[#This Row],[Amount]])</f>
        <v>11</v>
      </c>
    </row>
    <row r="298" spans="1:11" x14ac:dyDescent="0.35">
      <c r="A298" s="73">
        <v>45883</v>
      </c>
      <c r="B298" t="s">
        <v>242</v>
      </c>
      <c r="C298" s="3">
        <v>350</v>
      </c>
      <c r="E298" s="3">
        <v>6958.71</v>
      </c>
      <c r="F298" t="str">
        <f>TEXT(Account_Data[[#This Row],[Date]],"mmm-yyyy")</f>
        <v>Aug-2025</v>
      </c>
      <c r="G298" t="str">
        <f>IF(Account_Data[[#This Row],[Credit]]&gt;0,"Income","Expense")</f>
        <v>Expense</v>
      </c>
      <c r="H2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8" s="3">
        <f>Account_Data[[#This Row],[Credit]]-Account_Data[[#This Row],[Debit]]</f>
        <v>-350</v>
      </c>
      <c r="J298" s="7">
        <f>EOMONTH(Account_Data[[#This Row],[Date]],0)</f>
        <v>45900</v>
      </c>
      <c r="K298">
        <f>ABS(Account_Data[[#This Row],[Amount]])</f>
        <v>350</v>
      </c>
    </row>
    <row r="299" spans="1:11" x14ac:dyDescent="0.35">
      <c r="A299" s="73">
        <v>45883</v>
      </c>
      <c r="B299" t="s">
        <v>153</v>
      </c>
      <c r="C299" s="3">
        <v>11</v>
      </c>
      <c r="E299" s="3">
        <v>6947.71</v>
      </c>
      <c r="F299" t="str">
        <f>TEXT(Account_Data[[#This Row],[Date]],"mmm-yyyy")</f>
        <v>Aug-2025</v>
      </c>
      <c r="G299" t="str">
        <f>IF(Account_Data[[#This Row],[Credit]]&gt;0,"Income","Expense")</f>
        <v>Expense</v>
      </c>
      <c r="H2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299" s="3">
        <f>Account_Data[[#This Row],[Credit]]-Account_Data[[#This Row],[Debit]]</f>
        <v>-11</v>
      </c>
      <c r="J299" s="7">
        <f>EOMONTH(Account_Data[[#This Row],[Date]],0)</f>
        <v>45900</v>
      </c>
      <c r="K299">
        <f>ABS(Account_Data[[#This Row],[Amount]])</f>
        <v>11</v>
      </c>
    </row>
    <row r="300" spans="1:11" x14ac:dyDescent="0.35">
      <c r="A300" s="73">
        <v>45883</v>
      </c>
      <c r="B300" t="s">
        <v>153</v>
      </c>
      <c r="C300" s="3">
        <v>10</v>
      </c>
      <c r="E300" s="3">
        <v>6937.71</v>
      </c>
      <c r="F300" t="str">
        <f>TEXT(Account_Data[[#This Row],[Date]],"mmm-yyyy")</f>
        <v>Aug-2025</v>
      </c>
      <c r="G300" t="str">
        <f>IF(Account_Data[[#This Row],[Credit]]&gt;0,"Income","Expense")</f>
        <v>Expense</v>
      </c>
      <c r="H3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0" s="3">
        <f>Account_Data[[#This Row],[Credit]]-Account_Data[[#This Row],[Debit]]</f>
        <v>-10</v>
      </c>
      <c r="J300" s="7">
        <f>EOMONTH(Account_Data[[#This Row],[Date]],0)</f>
        <v>45900</v>
      </c>
      <c r="K300">
        <f>ABS(Account_Data[[#This Row],[Amount]])</f>
        <v>10</v>
      </c>
    </row>
    <row r="301" spans="1:11" x14ac:dyDescent="0.35">
      <c r="A301" s="73">
        <v>45884</v>
      </c>
      <c r="B301" t="s">
        <v>265</v>
      </c>
      <c r="C301" s="3">
        <v>10</v>
      </c>
      <c r="E301" s="3">
        <v>6927.71</v>
      </c>
      <c r="F301" t="str">
        <f>TEXT(Account_Data[[#This Row],[Date]],"mmm-yyyy")</f>
        <v>Aug-2025</v>
      </c>
      <c r="G301" t="str">
        <f>IF(Account_Data[[#This Row],[Credit]]&gt;0,"Income","Expense")</f>
        <v>Expense</v>
      </c>
      <c r="H3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1" s="3">
        <f>Account_Data[[#This Row],[Credit]]-Account_Data[[#This Row],[Debit]]</f>
        <v>-10</v>
      </c>
      <c r="J301" s="7">
        <f>EOMONTH(Account_Data[[#This Row],[Date]],0)</f>
        <v>45900</v>
      </c>
      <c r="K301">
        <f>ABS(Account_Data[[#This Row],[Amount]])</f>
        <v>10</v>
      </c>
    </row>
    <row r="302" spans="1:11" x14ac:dyDescent="0.35">
      <c r="A302" s="73">
        <v>45884</v>
      </c>
      <c r="B302" t="s">
        <v>153</v>
      </c>
      <c r="C302" s="3">
        <v>10</v>
      </c>
      <c r="E302" s="3">
        <v>6917.71</v>
      </c>
      <c r="F302" t="str">
        <f>TEXT(Account_Data[[#This Row],[Date]],"mmm-yyyy")</f>
        <v>Aug-2025</v>
      </c>
      <c r="G302" t="str">
        <f>IF(Account_Data[[#This Row],[Credit]]&gt;0,"Income","Expense")</f>
        <v>Expense</v>
      </c>
      <c r="H3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2" s="3">
        <f>Account_Data[[#This Row],[Credit]]-Account_Data[[#This Row],[Debit]]</f>
        <v>-10</v>
      </c>
      <c r="J302" s="7">
        <f>EOMONTH(Account_Data[[#This Row],[Date]],0)</f>
        <v>45900</v>
      </c>
      <c r="K302">
        <f>ABS(Account_Data[[#This Row],[Amount]])</f>
        <v>10</v>
      </c>
    </row>
    <row r="303" spans="1:11" x14ac:dyDescent="0.35">
      <c r="A303" s="73">
        <v>45885</v>
      </c>
      <c r="B303" t="s">
        <v>120</v>
      </c>
      <c r="D303" s="3">
        <v>3000</v>
      </c>
      <c r="E303" s="3">
        <v>9917.7099999999991</v>
      </c>
      <c r="F303" t="str">
        <f>TEXT(Account_Data[[#This Row],[Date]],"mmm-yyyy")</f>
        <v>Aug-2025</v>
      </c>
      <c r="G303" t="str">
        <f>IF(Account_Data[[#This Row],[Credit]]&gt;0,"Income","Expense")</f>
        <v>Income</v>
      </c>
      <c r="H3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3" s="3">
        <f>Account_Data[[#This Row],[Credit]]-Account_Data[[#This Row],[Debit]]</f>
        <v>3000</v>
      </c>
      <c r="J303" s="7">
        <f>EOMONTH(Account_Data[[#This Row],[Date]],0)</f>
        <v>45900</v>
      </c>
      <c r="K303">
        <f>ABS(Account_Data[[#This Row],[Amount]])</f>
        <v>3000</v>
      </c>
    </row>
    <row r="304" spans="1:11" x14ac:dyDescent="0.35">
      <c r="A304" s="73">
        <v>45885</v>
      </c>
      <c r="B304" t="s">
        <v>199</v>
      </c>
      <c r="C304" s="3">
        <v>450</v>
      </c>
      <c r="E304" s="3">
        <v>9467.7099999999991</v>
      </c>
      <c r="F304" t="str">
        <f>TEXT(Account_Data[[#This Row],[Date]],"mmm-yyyy")</f>
        <v>Aug-2025</v>
      </c>
      <c r="G304" t="str">
        <f>IF(Account_Data[[#This Row],[Credit]]&gt;0,"Income","Expense")</f>
        <v>Expense</v>
      </c>
      <c r="H3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4" s="3">
        <f>Account_Data[[#This Row],[Credit]]-Account_Data[[#This Row],[Debit]]</f>
        <v>-450</v>
      </c>
      <c r="J304" s="7">
        <f>EOMONTH(Account_Data[[#This Row],[Date]],0)</f>
        <v>45900</v>
      </c>
      <c r="K304">
        <f>ABS(Account_Data[[#This Row],[Amount]])</f>
        <v>450</v>
      </c>
    </row>
    <row r="305" spans="1:11" x14ac:dyDescent="0.35">
      <c r="A305" s="73">
        <v>45885</v>
      </c>
      <c r="B305" t="s">
        <v>266</v>
      </c>
      <c r="C305" s="3">
        <v>70</v>
      </c>
      <c r="E305" s="3">
        <v>9397.7099999999991</v>
      </c>
      <c r="F305" t="str">
        <f>TEXT(Account_Data[[#This Row],[Date]],"mmm-yyyy")</f>
        <v>Aug-2025</v>
      </c>
      <c r="G305" t="str">
        <f>IF(Account_Data[[#This Row],[Credit]]&gt;0,"Income","Expense")</f>
        <v>Expense</v>
      </c>
      <c r="H3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5" s="3">
        <f>Account_Data[[#This Row],[Credit]]-Account_Data[[#This Row],[Debit]]</f>
        <v>-70</v>
      </c>
      <c r="J305" s="7">
        <f>EOMONTH(Account_Data[[#This Row],[Date]],0)</f>
        <v>45900</v>
      </c>
      <c r="K305">
        <f>ABS(Account_Data[[#This Row],[Amount]])</f>
        <v>70</v>
      </c>
    </row>
    <row r="306" spans="1:11" x14ac:dyDescent="0.35">
      <c r="A306" s="73">
        <v>45885</v>
      </c>
      <c r="B306" t="s">
        <v>153</v>
      </c>
      <c r="C306" s="3">
        <v>15</v>
      </c>
      <c r="E306" s="3">
        <v>9382.7099999999991</v>
      </c>
      <c r="F306" t="str">
        <f>TEXT(Account_Data[[#This Row],[Date]],"mmm-yyyy")</f>
        <v>Aug-2025</v>
      </c>
      <c r="G306" t="str">
        <f>IF(Account_Data[[#This Row],[Credit]]&gt;0,"Income","Expense")</f>
        <v>Expense</v>
      </c>
      <c r="H3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6" s="3">
        <f>Account_Data[[#This Row],[Credit]]-Account_Data[[#This Row],[Debit]]</f>
        <v>-15</v>
      </c>
      <c r="J306" s="7">
        <f>EOMONTH(Account_Data[[#This Row],[Date]],0)</f>
        <v>45900</v>
      </c>
      <c r="K306">
        <f>ABS(Account_Data[[#This Row],[Amount]])</f>
        <v>15</v>
      </c>
    </row>
    <row r="307" spans="1:11" x14ac:dyDescent="0.35">
      <c r="A307" s="73">
        <v>45885</v>
      </c>
      <c r="B307" t="s">
        <v>267</v>
      </c>
      <c r="C307" s="3">
        <v>220</v>
      </c>
      <c r="E307" s="3">
        <v>9162.7099999999991</v>
      </c>
      <c r="F307" t="str">
        <f>TEXT(Account_Data[[#This Row],[Date]],"mmm-yyyy")</f>
        <v>Aug-2025</v>
      </c>
      <c r="G307" t="str">
        <f>IF(Account_Data[[#This Row],[Credit]]&gt;0,"Income","Expense")</f>
        <v>Expense</v>
      </c>
      <c r="H3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7" s="3">
        <f>Account_Data[[#This Row],[Credit]]-Account_Data[[#This Row],[Debit]]</f>
        <v>-220</v>
      </c>
      <c r="J307" s="7">
        <f>EOMONTH(Account_Data[[#This Row],[Date]],0)</f>
        <v>45900</v>
      </c>
      <c r="K307">
        <f>ABS(Account_Data[[#This Row],[Amount]])</f>
        <v>220</v>
      </c>
    </row>
    <row r="308" spans="1:11" x14ac:dyDescent="0.35">
      <c r="A308" s="73">
        <v>45885</v>
      </c>
      <c r="B308" t="s">
        <v>268</v>
      </c>
      <c r="C308" s="3">
        <v>1100</v>
      </c>
      <c r="E308" s="3">
        <v>8062.71</v>
      </c>
      <c r="F308" t="str">
        <f>TEXT(Account_Data[[#This Row],[Date]],"mmm-yyyy")</f>
        <v>Aug-2025</v>
      </c>
      <c r="G308" t="str">
        <f>IF(Account_Data[[#This Row],[Credit]]&gt;0,"Income","Expense")</f>
        <v>Expense</v>
      </c>
      <c r="H3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8" s="3">
        <f>Account_Data[[#This Row],[Credit]]-Account_Data[[#This Row],[Debit]]</f>
        <v>-1100</v>
      </c>
      <c r="J308" s="7">
        <f>EOMONTH(Account_Data[[#This Row],[Date]],0)</f>
        <v>45900</v>
      </c>
      <c r="K308">
        <f>ABS(Account_Data[[#This Row],[Amount]])</f>
        <v>1100</v>
      </c>
    </row>
    <row r="309" spans="1:11" x14ac:dyDescent="0.35">
      <c r="A309" s="73">
        <v>45886</v>
      </c>
      <c r="B309" t="s">
        <v>269</v>
      </c>
      <c r="C309" s="3">
        <v>10</v>
      </c>
      <c r="E309" s="3">
        <v>8052.71</v>
      </c>
      <c r="F309" t="str">
        <f>TEXT(Account_Data[[#This Row],[Date]],"mmm-yyyy")</f>
        <v>Aug-2025</v>
      </c>
      <c r="G309" t="str">
        <f>IF(Account_Data[[#This Row],[Credit]]&gt;0,"Income","Expense")</f>
        <v>Expense</v>
      </c>
      <c r="H3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09" s="3">
        <f>Account_Data[[#This Row],[Credit]]-Account_Data[[#This Row],[Debit]]</f>
        <v>-10</v>
      </c>
      <c r="J309" s="7">
        <f>EOMONTH(Account_Data[[#This Row],[Date]],0)</f>
        <v>45900</v>
      </c>
      <c r="K309">
        <f>ABS(Account_Data[[#This Row],[Amount]])</f>
        <v>10</v>
      </c>
    </row>
    <row r="310" spans="1:11" x14ac:dyDescent="0.35">
      <c r="A310" s="73">
        <v>45886</v>
      </c>
      <c r="B310" t="s">
        <v>149</v>
      </c>
      <c r="C310" s="3">
        <v>1</v>
      </c>
      <c r="E310" s="3">
        <v>8051.71</v>
      </c>
      <c r="F310" t="str">
        <f>TEXT(Account_Data[[#This Row],[Date]],"mmm-yyyy")</f>
        <v>Aug-2025</v>
      </c>
      <c r="G310" t="str">
        <f>IF(Account_Data[[#This Row],[Credit]]&gt;0,"Income","Expense")</f>
        <v>Expense</v>
      </c>
      <c r="H3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0" s="3">
        <f>Account_Data[[#This Row],[Credit]]-Account_Data[[#This Row],[Debit]]</f>
        <v>-1</v>
      </c>
      <c r="J310" s="7">
        <f>EOMONTH(Account_Data[[#This Row],[Date]],0)</f>
        <v>45900</v>
      </c>
      <c r="K310">
        <f>ABS(Account_Data[[#This Row],[Amount]])</f>
        <v>1</v>
      </c>
    </row>
    <row r="311" spans="1:11" x14ac:dyDescent="0.35">
      <c r="A311" s="73">
        <v>45887</v>
      </c>
      <c r="B311" t="s">
        <v>149</v>
      </c>
      <c r="C311" s="3">
        <v>5000</v>
      </c>
      <c r="E311" s="3">
        <v>3051.71</v>
      </c>
      <c r="F311" t="str">
        <f>TEXT(Account_Data[[#This Row],[Date]],"mmm-yyyy")</f>
        <v>Aug-2025</v>
      </c>
      <c r="G311" t="str">
        <f>IF(Account_Data[[#This Row],[Credit]]&gt;0,"Income","Expense")</f>
        <v>Expense</v>
      </c>
      <c r="H3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1" s="3">
        <f>Account_Data[[#This Row],[Credit]]-Account_Data[[#This Row],[Debit]]</f>
        <v>-5000</v>
      </c>
      <c r="J311" s="7">
        <f>EOMONTH(Account_Data[[#This Row],[Date]],0)</f>
        <v>45900</v>
      </c>
      <c r="K311">
        <f>ABS(Account_Data[[#This Row],[Amount]])</f>
        <v>5000</v>
      </c>
    </row>
    <row r="312" spans="1:11" x14ac:dyDescent="0.35">
      <c r="A312" s="73">
        <v>45890</v>
      </c>
      <c r="B312" t="s">
        <v>270</v>
      </c>
      <c r="C312" s="3">
        <v>1100</v>
      </c>
      <c r="E312" s="3">
        <v>1951.71</v>
      </c>
      <c r="F312" t="str">
        <f>TEXT(Account_Data[[#This Row],[Date]],"mmm-yyyy")</f>
        <v>Aug-2025</v>
      </c>
      <c r="G312" t="str">
        <f>IF(Account_Data[[#This Row],[Credit]]&gt;0,"Income","Expense")</f>
        <v>Expense</v>
      </c>
      <c r="H3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2" s="3">
        <f>Account_Data[[#This Row],[Credit]]-Account_Data[[#This Row],[Debit]]</f>
        <v>-1100</v>
      </c>
      <c r="J312" s="7">
        <f>EOMONTH(Account_Data[[#This Row],[Date]],0)</f>
        <v>45900</v>
      </c>
      <c r="K312">
        <f>ABS(Account_Data[[#This Row],[Amount]])</f>
        <v>1100</v>
      </c>
    </row>
    <row r="313" spans="1:11" x14ac:dyDescent="0.35">
      <c r="A313" s="73">
        <v>45890</v>
      </c>
      <c r="B313" t="s">
        <v>271</v>
      </c>
      <c r="C313" s="3">
        <v>150</v>
      </c>
      <c r="E313" s="3">
        <v>1801.71</v>
      </c>
      <c r="F313" t="str">
        <f>TEXT(Account_Data[[#This Row],[Date]],"mmm-yyyy")</f>
        <v>Aug-2025</v>
      </c>
      <c r="G313" t="str">
        <f>IF(Account_Data[[#This Row],[Credit]]&gt;0,"Income","Expense")</f>
        <v>Expense</v>
      </c>
      <c r="H3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3" s="3">
        <f>Account_Data[[#This Row],[Credit]]-Account_Data[[#This Row],[Debit]]</f>
        <v>-150</v>
      </c>
      <c r="J313" s="7">
        <f>EOMONTH(Account_Data[[#This Row],[Date]],0)</f>
        <v>45900</v>
      </c>
      <c r="K313">
        <f>ABS(Account_Data[[#This Row],[Amount]])</f>
        <v>150</v>
      </c>
    </row>
    <row r="314" spans="1:11" x14ac:dyDescent="0.35">
      <c r="A314" s="73">
        <v>45893</v>
      </c>
      <c r="B314" t="s">
        <v>153</v>
      </c>
      <c r="C314" s="3">
        <v>11</v>
      </c>
      <c r="E314" s="3">
        <v>1790.71</v>
      </c>
      <c r="F314" t="str">
        <f>TEXT(Account_Data[[#This Row],[Date]],"mmm-yyyy")</f>
        <v>Aug-2025</v>
      </c>
      <c r="G314" t="str">
        <f>IF(Account_Data[[#This Row],[Credit]]&gt;0,"Income","Expense")</f>
        <v>Expense</v>
      </c>
      <c r="H3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4" s="3">
        <f>Account_Data[[#This Row],[Credit]]-Account_Data[[#This Row],[Debit]]</f>
        <v>-11</v>
      </c>
      <c r="J314" s="7">
        <f>EOMONTH(Account_Data[[#This Row],[Date]],0)</f>
        <v>45900</v>
      </c>
      <c r="K314">
        <f>ABS(Account_Data[[#This Row],[Amount]])</f>
        <v>11</v>
      </c>
    </row>
    <row r="315" spans="1:11" x14ac:dyDescent="0.35">
      <c r="A315" s="73">
        <v>45894</v>
      </c>
      <c r="B315" t="s">
        <v>490</v>
      </c>
      <c r="D315" s="3">
        <v>15770</v>
      </c>
      <c r="E315" s="3">
        <v>17560.71</v>
      </c>
      <c r="F315" t="str">
        <f>TEXT(Account_Data[[#This Row],[Date]],"mmm-yyyy")</f>
        <v>Aug-2025</v>
      </c>
      <c r="G315" t="str">
        <f>IF(Account_Data[[#This Row],[Credit]]&gt;0,"Income","Expense")</f>
        <v>Income</v>
      </c>
      <c r="H3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315" s="3">
        <f>Account_Data[[#This Row],[Credit]]-Account_Data[[#This Row],[Debit]]</f>
        <v>15770</v>
      </c>
      <c r="J315" s="7">
        <f>EOMONTH(Account_Data[[#This Row],[Date]],0)</f>
        <v>45900</v>
      </c>
      <c r="K315">
        <f>ABS(Account_Data[[#This Row],[Amount]])</f>
        <v>15770</v>
      </c>
    </row>
    <row r="316" spans="1:11" x14ac:dyDescent="0.35">
      <c r="A316" s="73">
        <v>45896</v>
      </c>
      <c r="B316" t="s">
        <v>235</v>
      </c>
      <c r="C316" s="3">
        <v>595</v>
      </c>
      <c r="E316" s="3">
        <v>16965.71</v>
      </c>
      <c r="F316" t="str">
        <f>TEXT(Account_Data[[#This Row],[Date]],"mmm-yyyy")</f>
        <v>Aug-2025</v>
      </c>
      <c r="G316" t="str">
        <f>IF(Account_Data[[#This Row],[Credit]]&gt;0,"Income","Expense")</f>
        <v>Expense</v>
      </c>
      <c r="H3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6" s="3">
        <f>Account_Data[[#This Row],[Credit]]-Account_Data[[#This Row],[Debit]]</f>
        <v>-595</v>
      </c>
      <c r="J316" s="7">
        <f>EOMONTH(Account_Data[[#This Row],[Date]],0)</f>
        <v>45900</v>
      </c>
      <c r="K316">
        <f>ABS(Account_Data[[#This Row],[Amount]])</f>
        <v>595</v>
      </c>
    </row>
    <row r="317" spans="1:11" x14ac:dyDescent="0.35">
      <c r="A317" s="73">
        <v>45896</v>
      </c>
      <c r="B317" t="s">
        <v>491</v>
      </c>
      <c r="D317" s="3">
        <v>114138</v>
      </c>
      <c r="E317" s="3">
        <v>131103.71</v>
      </c>
      <c r="F317" t="str">
        <f>TEXT(Account_Data[[#This Row],[Date]],"mmm-yyyy")</f>
        <v>Aug-2025</v>
      </c>
      <c r="G317" t="str">
        <f>IF(Account_Data[[#This Row],[Credit]]&gt;0,"Income","Expense")</f>
        <v>Income</v>
      </c>
      <c r="H3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317" s="3">
        <f>Account_Data[[#This Row],[Credit]]-Account_Data[[#This Row],[Debit]]</f>
        <v>114138</v>
      </c>
      <c r="J317" s="7">
        <f>EOMONTH(Account_Data[[#This Row],[Date]],0)</f>
        <v>45900</v>
      </c>
      <c r="K317">
        <f>ABS(Account_Data[[#This Row],[Amount]])</f>
        <v>114138</v>
      </c>
    </row>
    <row r="318" spans="1:11" x14ac:dyDescent="0.35">
      <c r="A318" s="73">
        <v>45896</v>
      </c>
      <c r="B318" t="s">
        <v>272</v>
      </c>
      <c r="C318" s="3">
        <v>1660</v>
      </c>
      <c r="E318" s="3">
        <v>129443.71</v>
      </c>
      <c r="F318" t="str">
        <f>TEXT(Account_Data[[#This Row],[Date]],"mmm-yyyy")</f>
        <v>Aug-2025</v>
      </c>
      <c r="G318" t="str">
        <f>IF(Account_Data[[#This Row],[Credit]]&gt;0,"Income","Expense")</f>
        <v>Expense</v>
      </c>
      <c r="H3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18" s="3">
        <f>Account_Data[[#This Row],[Credit]]-Account_Data[[#This Row],[Debit]]</f>
        <v>-1660</v>
      </c>
      <c r="J318" s="7">
        <f>EOMONTH(Account_Data[[#This Row],[Date]],0)</f>
        <v>45900</v>
      </c>
      <c r="K318">
        <f>ABS(Account_Data[[#This Row],[Amount]])</f>
        <v>1660</v>
      </c>
    </row>
    <row r="319" spans="1:11" x14ac:dyDescent="0.35">
      <c r="A319" s="73">
        <v>45897</v>
      </c>
      <c r="B319" t="s">
        <v>99</v>
      </c>
      <c r="C319" s="3">
        <v>1000</v>
      </c>
      <c r="E319" s="3">
        <v>128443.71</v>
      </c>
      <c r="F319" t="str">
        <f>TEXT(Account_Data[[#This Row],[Date]],"mmm-yyyy")</f>
        <v>Aug-2025</v>
      </c>
      <c r="G319" t="str">
        <f>IF(Account_Data[[#This Row],[Credit]]&gt;0,"Income","Expense")</f>
        <v>Expense</v>
      </c>
      <c r="H3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19" s="3">
        <f>Account_Data[[#This Row],[Credit]]-Account_Data[[#This Row],[Debit]]</f>
        <v>-1000</v>
      </c>
      <c r="J319" s="7">
        <f>EOMONTH(Account_Data[[#This Row],[Date]],0)</f>
        <v>45900</v>
      </c>
      <c r="K319">
        <f>ABS(Account_Data[[#This Row],[Amount]])</f>
        <v>1000</v>
      </c>
    </row>
    <row r="320" spans="1:11" x14ac:dyDescent="0.35">
      <c r="A320" s="73">
        <v>45898</v>
      </c>
      <c r="B320" t="s">
        <v>269</v>
      </c>
      <c r="C320" s="3">
        <v>11</v>
      </c>
      <c r="E320" s="3">
        <v>128432.71</v>
      </c>
      <c r="F320" t="str">
        <f>TEXT(Account_Data[[#This Row],[Date]],"mmm-yyyy")</f>
        <v>Aug-2025</v>
      </c>
      <c r="G320" t="str">
        <f>IF(Account_Data[[#This Row],[Credit]]&gt;0,"Income","Expense")</f>
        <v>Expense</v>
      </c>
      <c r="H3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0" s="3">
        <f>Account_Data[[#This Row],[Credit]]-Account_Data[[#This Row],[Debit]]</f>
        <v>-11</v>
      </c>
      <c r="J320" s="7">
        <f>EOMONTH(Account_Data[[#This Row],[Date]],0)</f>
        <v>45900</v>
      </c>
      <c r="K320">
        <f>ABS(Account_Data[[#This Row],[Amount]])</f>
        <v>11</v>
      </c>
    </row>
    <row r="321" spans="1:11" x14ac:dyDescent="0.35">
      <c r="A321" s="73">
        <v>45898</v>
      </c>
      <c r="B321" t="s">
        <v>153</v>
      </c>
      <c r="C321" s="3">
        <v>10</v>
      </c>
      <c r="E321" s="3">
        <v>128422.71</v>
      </c>
      <c r="F321" t="str">
        <f>TEXT(Account_Data[[#This Row],[Date]],"mmm-yyyy")</f>
        <v>Aug-2025</v>
      </c>
      <c r="G321" t="str">
        <f>IF(Account_Data[[#This Row],[Credit]]&gt;0,"Income","Expense")</f>
        <v>Expense</v>
      </c>
      <c r="H3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1" s="3">
        <f>Account_Data[[#This Row],[Credit]]-Account_Data[[#This Row],[Debit]]</f>
        <v>-10</v>
      </c>
      <c r="J321" s="7">
        <f>EOMONTH(Account_Data[[#This Row],[Date]],0)</f>
        <v>45900</v>
      </c>
      <c r="K321">
        <f>ABS(Account_Data[[#This Row],[Amount]])</f>
        <v>10</v>
      </c>
    </row>
    <row r="322" spans="1:11" x14ac:dyDescent="0.35">
      <c r="A322" s="73">
        <v>45899</v>
      </c>
      <c r="B322" t="s">
        <v>153</v>
      </c>
      <c r="C322" s="3">
        <v>10</v>
      </c>
      <c r="E322" s="3">
        <v>128412.71</v>
      </c>
      <c r="F322" t="str">
        <f>TEXT(Account_Data[[#This Row],[Date]],"mmm-yyyy")</f>
        <v>Aug-2025</v>
      </c>
      <c r="G322" t="str">
        <f>IF(Account_Data[[#This Row],[Credit]]&gt;0,"Income","Expense")</f>
        <v>Expense</v>
      </c>
      <c r="H3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2" s="3">
        <f>Account_Data[[#This Row],[Credit]]-Account_Data[[#This Row],[Debit]]</f>
        <v>-10</v>
      </c>
      <c r="J322" s="7">
        <f>EOMONTH(Account_Data[[#This Row],[Date]],0)</f>
        <v>45900</v>
      </c>
      <c r="K322">
        <f>ABS(Account_Data[[#This Row],[Amount]])</f>
        <v>10</v>
      </c>
    </row>
    <row r="323" spans="1:11" x14ac:dyDescent="0.35">
      <c r="A323" s="73">
        <v>45899</v>
      </c>
      <c r="B323" t="s">
        <v>242</v>
      </c>
      <c r="C323" s="3">
        <v>350</v>
      </c>
      <c r="E323" s="3">
        <v>128062.71</v>
      </c>
      <c r="F323" t="str">
        <f>TEXT(Account_Data[[#This Row],[Date]],"mmm-yyyy")</f>
        <v>Aug-2025</v>
      </c>
      <c r="G323" t="str">
        <f>IF(Account_Data[[#This Row],[Credit]]&gt;0,"Income","Expense")</f>
        <v>Expense</v>
      </c>
      <c r="H3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3" s="3">
        <f>Account_Data[[#This Row],[Credit]]-Account_Data[[#This Row],[Debit]]</f>
        <v>-350</v>
      </c>
      <c r="J323" s="7">
        <f>EOMONTH(Account_Data[[#This Row],[Date]],0)</f>
        <v>45900</v>
      </c>
      <c r="K323">
        <f>ABS(Account_Data[[#This Row],[Amount]])</f>
        <v>350</v>
      </c>
    </row>
    <row r="324" spans="1:11" x14ac:dyDescent="0.35">
      <c r="A324" s="73">
        <v>45899</v>
      </c>
      <c r="B324" t="s">
        <v>183</v>
      </c>
      <c r="C324" s="3">
        <v>20000</v>
      </c>
      <c r="E324" s="3">
        <v>108062.71</v>
      </c>
      <c r="F324" t="str">
        <f>TEXT(Account_Data[[#This Row],[Date]],"mmm-yyyy")</f>
        <v>Aug-2025</v>
      </c>
      <c r="G324" t="str">
        <f>IF(Account_Data[[#This Row],[Credit]]&gt;0,"Income","Expense")</f>
        <v>Expense</v>
      </c>
      <c r="H3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4" s="3">
        <f>Account_Data[[#This Row],[Credit]]-Account_Data[[#This Row],[Debit]]</f>
        <v>-20000</v>
      </c>
      <c r="J324" s="7">
        <f>EOMONTH(Account_Data[[#This Row],[Date]],0)</f>
        <v>45900</v>
      </c>
      <c r="K324">
        <f>ABS(Account_Data[[#This Row],[Amount]])</f>
        <v>20000</v>
      </c>
    </row>
    <row r="325" spans="1:11" x14ac:dyDescent="0.35">
      <c r="A325" s="73">
        <v>45900</v>
      </c>
      <c r="B325" t="s">
        <v>257</v>
      </c>
      <c r="C325" s="3">
        <v>5000</v>
      </c>
      <c r="E325" s="3">
        <v>103062.71</v>
      </c>
      <c r="F325" t="str">
        <f>TEXT(Account_Data[[#This Row],[Date]],"mmm-yyyy")</f>
        <v>Aug-2025</v>
      </c>
      <c r="G325" t="str">
        <f>IF(Account_Data[[#This Row],[Credit]]&gt;0,"Income","Expense")</f>
        <v>Expense</v>
      </c>
      <c r="H3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325" s="3">
        <f>Account_Data[[#This Row],[Credit]]-Account_Data[[#This Row],[Debit]]</f>
        <v>-5000</v>
      </c>
      <c r="J325" s="7">
        <f>EOMONTH(Account_Data[[#This Row],[Date]],0)</f>
        <v>45900</v>
      </c>
      <c r="K325">
        <f>ABS(Account_Data[[#This Row],[Amount]])</f>
        <v>5000</v>
      </c>
    </row>
    <row r="326" spans="1:11" x14ac:dyDescent="0.35">
      <c r="A326" s="73">
        <v>45900</v>
      </c>
      <c r="B326" t="s">
        <v>153</v>
      </c>
      <c r="C326" s="3">
        <v>12</v>
      </c>
      <c r="E326" s="3">
        <v>103050.71</v>
      </c>
      <c r="F326" t="str">
        <f>TEXT(Account_Data[[#This Row],[Date]],"mmm-yyyy")</f>
        <v>Aug-2025</v>
      </c>
      <c r="G326" t="str">
        <f>IF(Account_Data[[#This Row],[Credit]]&gt;0,"Income","Expense")</f>
        <v>Expense</v>
      </c>
      <c r="H3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26" s="3">
        <f>Account_Data[[#This Row],[Credit]]-Account_Data[[#This Row],[Debit]]</f>
        <v>-12</v>
      </c>
      <c r="J326" s="7">
        <f>EOMONTH(Account_Data[[#This Row],[Date]],0)</f>
        <v>45900</v>
      </c>
      <c r="K326">
        <f>ABS(Account_Data[[#This Row],[Amount]])</f>
        <v>12</v>
      </c>
    </row>
    <row r="327" spans="1:11" x14ac:dyDescent="0.35">
      <c r="A327" s="73">
        <v>45901</v>
      </c>
      <c r="B327" t="s">
        <v>89</v>
      </c>
      <c r="C327" s="3">
        <v>2000</v>
      </c>
      <c r="E327" s="3">
        <v>101050.71</v>
      </c>
      <c r="F327" t="str">
        <f>TEXT(Account_Data[[#This Row],[Date]],"mmm-yyyy")</f>
        <v>Sep-2025</v>
      </c>
      <c r="G327" t="str">
        <f>IF(Account_Data[[#This Row],[Credit]]&gt;0,"Income","Expense")</f>
        <v>Expense</v>
      </c>
      <c r="H3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27" s="3">
        <f>Account_Data[[#This Row],[Credit]]-Account_Data[[#This Row],[Debit]]</f>
        <v>-2000</v>
      </c>
      <c r="J327" s="7">
        <f>EOMONTH(Account_Data[[#This Row],[Date]],0)</f>
        <v>45930</v>
      </c>
      <c r="K327">
        <f>ABS(Account_Data[[#This Row],[Amount]])</f>
        <v>2000</v>
      </c>
    </row>
    <row r="328" spans="1:11" x14ac:dyDescent="0.35">
      <c r="A328" s="73">
        <v>45901</v>
      </c>
      <c r="B328" t="s">
        <v>89</v>
      </c>
      <c r="C328" s="3">
        <v>5000</v>
      </c>
      <c r="E328" s="3">
        <v>96050.71</v>
      </c>
      <c r="F328" t="str">
        <f>TEXT(Account_Data[[#This Row],[Date]],"mmm-yyyy")</f>
        <v>Sep-2025</v>
      </c>
      <c r="G328" t="str">
        <f>IF(Account_Data[[#This Row],[Credit]]&gt;0,"Income","Expense")</f>
        <v>Expense</v>
      </c>
      <c r="H3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28" s="3">
        <f>Account_Data[[#This Row],[Credit]]-Account_Data[[#This Row],[Debit]]</f>
        <v>-5000</v>
      </c>
      <c r="J328" s="7">
        <f>EOMONTH(Account_Data[[#This Row],[Date]],0)</f>
        <v>45930</v>
      </c>
      <c r="K328">
        <f>ABS(Account_Data[[#This Row],[Amount]])</f>
        <v>5000</v>
      </c>
    </row>
    <row r="329" spans="1:11" x14ac:dyDescent="0.35">
      <c r="A329" s="73">
        <v>45901</v>
      </c>
      <c r="B329" t="s">
        <v>89</v>
      </c>
      <c r="C329" s="3">
        <v>2000</v>
      </c>
      <c r="E329" s="3">
        <v>94050.71</v>
      </c>
      <c r="F329" t="str">
        <f>TEXT(Account_Data[[#This Row],[Date]],"mmm-yyyy")</f>
        <v>Sep-2025</v>
      </c>
      <c r="G329" t="str">
        <f>IF(Account_Data[[#This Row],[Credit]]&gt;0,"Income","Expense")</f>
        <v>Expense</v>
      </c>
      <c r="H3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29" s="3">
        <f>Account_Data[[#This Row],[Credit]]-Account_Data[[#This Row],[Debit]]</f>
        <v>-2000</v>
      </c>
      <c r="J329" s="7">
        <f>EOMONTH(Account_Data[[#This Row],[Date]],0)</f>
        <v>45930</v>
      </c>
      <c r="K329">
        <f>ABS(Account_Data[[#This Row],[Amount]])</f>
        <v>2000</v>
      </c>
    </row>
    <row r="330" spans="1:11" x14ac:dyDescent="0.35">
      <c r="A330" s="73">
        <v>45901</v>
      </c>
      <c r="B330" t="s">
        <v>89</v>
      </c>
      <c r="C330" s="3">
        <v>2000</v>
      </c>
      <c r="E330" s="3">
        <v>92050.71</v>
      </c>
      <c r="F330" t="str">
        <f>TEXT(Account_Data[[#This Row],[Date]],"mmm-yyyy")</f>
        <v>Sep-2025</v>
      </c>
      <c r="G330" t="str">
        <f>IF(Account_Data[[#This Row],[Credit]]&gt;0,"Income","Expense")</f>
        <v>Expense</v>
      </c>
      <c r="H3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0" s="3">
        <f>Account_Data[[#This Row],[Credit]]-Account_Data[[#This Row],[Debit]]</f>
        <v>-2000</v>
      </c>
      <c r="J330" s="7">
        <f>EOMONTH(Account_Data[[#This Row],[Date]],0)</f>
        <v>45930</v>
      </c>
      <c r="K330">
        <f>ABS(Account_Data[[#This Row],[Amount]])</f>
        <v>2000</v>
      </c>
    </row>
    <row r="331" spans="1:11" x14ac:dyDescent="0.35">
      <c r="A331" s="73">
        <v>45901</v>
      </c>
      <c r="B331" t="s">
        <v>89</v>
      </c>
      <c r="C331" s="3">
        <v>3000</v>
      </c>
      <c r="E331" s="3">
        <v>89050.71</v>
      </c>
      <c r="F331" t="str">
        <f>TEXT(Account_Data[[#This Row],[Date]],"mmm-yyyy")</f>
        <v>Sep-2025</v>
      </c>
      <c r="G331" t="str">
        <f>IF(Account_Data[[#This Row],[Credit]]&gt;0,"Income","Expense")</f>
        <v>Expense</v>
      </c>
      <c r="H3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1" s="3">
        <f>Account_Data[[#This Row],[Credit]]-Account_Data[[#This Row],[Debit]]</f>
        <v>-3000</v>
      </c>
      <c r="J331" s="7">
        <f>EOMONTH(Account_Data[[#This Row],[Date]],0)</f>
        <v>45930</v>
      </c>
      <c r="K331">
        <f>ABS(Account_Data[[#This Row],[Amount]])</f>
        <v>3000</v>
      </c>
    </row>
    <row r="332" spans="1:11" x14ac:dyDescent="0.35">
      <c r="A332" s="73">
        <v>45901</v>
      </c>
      <c r="B332" t="s">
        <v>89</v>
      </c>
      <c r="C332" s="3">
        <v>5000</v>
      </c>
      <c r="E332" s="3">
        <v>84050.71</v>
      </c>
      <c r="F332" t="str">
        <f>TEXT(Account_Data[[#This Row],[Date]],"mmm-yyyy")</f>
        <v>Sep-2025</v>
      </c>
      <c r="G332" t="str">
        <f>IF(Account_Data[[#This Row],[Credit]]&gt;0,"Income","Expense")</f>
        <v>Expense</v>
      </c>
      <c r="H3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2" s="3">
        <f>Account_Data[[#This Row],[Credit]]-Account_Data[[#This Row],[Debit]]</f>
        <v>-5000</v>
      </c>
      <c r="J332" s="7">
        <f>EOMONTH(Account_Data[[#This Row],[Date]],0)</f>
        <v>45930</v>
      </c>
      <c r="K332">
        <f>ABS(Account_Data[[#This Row],[Amount]])</f>
        <v>5000</v>
      </c>
    </row>
    <row r="333" spans="1:11" x14ac:dyDescent="0.35">
      <c r="A333" s="73">
        <v>45901</v>
      </c>
      <c r="B333" t="s">
        <v>110</v>
      </c>
      <c r="C333" s="3">
        <v>16159</v>
      </c>
      <c r="E333" s="3">
        <v>67891.710000000006</v>
      </c>
      <c r="F333" t="str">
        <f>TEXT(Account_Data[[#This Row],[Date]],"mmm-yyyy")</f>
        <v>Sep-2025</v>
      </c>
      <c r="G333" t="str">
        <f>IF(Account_Data[[#This Row],[Credit]]&gt;0,"Income","Expense")</f>
        <v>Expense</v>
      </c>
      <c r="H3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3" s="3">
        <f>Account_Data[[#This Row],[Credit]]-Account_Data[[#This Row],[Debit]]</f>
        <v>-16159</v>
      </c>
      <c r="J333" s="7">
        <f>EOMONTH(Account_Data[[#This Row],[Date]],0)</f>
        <v>45930</v>
      </c>
      <c r="K333">
        <f>ABS(Account_Data[[#This Row],[Amount]])</f>
        <v>16159</v>
      </c>
    </row>
    <row r="334" spans="1:11" x14ac:dyDescent="0.35">
      <c r="A334" s="73">
        <v>45901</v>
      </c>
      <c r="B334" t="s">
        <v>90</v>
      </c>
      <c r="C334" s="3">
        <v>1000</v>
      </c>
      <c r="E334" s="3">
        <v>66891.710000000006</v>
      </c>
      <c r="F334" t="str">
        <f>TEXT(Account_Data[[#This Row],[Date]],"mmm-yyyy")</f>
        <v>Sep-2025</v>
      </c>
      <c r="G334" t="str">
        <f>IF(Account_Data[[#This Row],[Credit]]&gt;0,"Income","Expense")</f>
        <v>Expense</v>
      </c>
      <c r="H3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334" s="3">
        <f>Account_Data[[#This Row],[Credit]]-Account_Data[[#This Row],[Debit]]</f>
        <v>-1000</v>
      </c>
      <c r="J334" s="7">
        <f>EOMONTH(Account_Data[[#This Row],[Date]],0)</f>
        <v>45930</v>
      </c>
      <c r="K334">
        <f>ABS(Account_Data[[#This Row],[Amount]])</f>
        <v>1000</v>
      </c>
    </row>
    <row r="335" spans="1:11" x14ac:dyDescent="0.35">
      <c r="A335" s="73">
        <v>45901</v>
      </c>
      <c r="B335" t="s">
        <v>153</v>
      </c>
      <c r="C335" s="3">
        <v>10</v>
      </c>
      <c r="E335" s="3">
        <v>66881.710000000006</v>
      </c>
      <c r="F335" t="str">
        <f>TEXT(Account_Data[[#This Row],[Date]],"mmm-yyyy")</f>
        <v>Sep-2025</v>
      </c>
      <c r="G335" t="str">
        <f>IF(Account_Data[[#This Row],[Credit]]&gt;0,"Income","Expense")</f>
        <v>Expense</v>
      </c>
      <c r="H3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35" s="3">
        <f>Account_Data[[#This Row],[Credit]]-Account_Data[[#This Row],[Debit]]</f>
        <v>-10</v>
      </c>
      <c r="J335" s="7">
        <f>EOMONTH(Account_Data[[#This Row],[Date]],0)</f>
        <v>45930</v>
      </c>
      <c r="K335">
        <f>ABS(Account_Data[[#This Row],[Amount]])</f>
        <v>10</v>
      </c>
    </row>
    <row r="336" spans="1:11" x14ac:dyDescent="0.35">
      <c r="A336" s="73">
        <v>45902</v>
      </c>
      <c r="B336" t="s">
        <v>91</v>
      </c>
      <c r="C336" s="3">
        <v>7717</v>
      </c>
      <c r="E336" s="3">
        <v>59164.71</v>
      </c>
      <c r="F336" t="str">
        <f>TEXT(Account_Data[[#This Row],[Date]],"mmm-yyyy")</f>
        <v>Sep-2025</v>
      </c>
      <c r="G336" t="str">
        <f>IF(Account_Data[[#This Row],[Credit]]&gt;0,"Income","Expense")</f>
        <v>Expense</v>
      </c>
      <c r="H3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6" s="3">
        <f>Account_Data[[#This Row],[Credit]]-Account_Data[[#This Row],[Debit]]</f>
        <v>-7717</v>
      </c>
      <c r="J336" s="7">
        <f>EOMONTH(Account_Data[[#This Row],[Date]],0)</f>
        <v>45930</v>
      </c>
      <c r="K336">
        <f>ABS(Account_Data[[#This Row],[Amount]])</f>
        <v>7717</v>
      </c>
    </row>
    <row r="337" spans="1:11" x14ac:dyDescent="0.35">
      <c r="A337" s="73">
        <v>45902</v>
      </c>
      <c r="B337" t="s">
        <v>91</v>
      </c>
      <c r="C337" s="3">
        <v>8704</v>
      </c>
      <c r="E337" s="3">
        <v>50460.71</v>
      </c>
      <c r="F337" t="str">
        <f>TEXT(Account_Data[[#This Row],[Date]],"mmm-yyyy")</f>
        <v>Sep-2025</v>
      </c>
      <c r="G337" t="str">
        <f>IF(Account_Data[[#This Row],[Credit]]&gt;0,"Income","Expense")</f>
        <v>Expense</v>
      </c>
      <c r="H3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7" s="3">
        <f>Account_Data[[#This Row],[Credit]]-Account_Data[[#This Row],[Debit]]</f>
        <v>-8704</v>
      </c>
      <c r="J337" s="7">
        <f>EOMONTH(Account_Data[[#This Row],[Date]],0)</f>
        <v>45930</v>
      </c>
      <c r="K337">
        <f>ABS(Account_Data[[#This Row],[Amount]])</f>
        <v>8704</v>
      </c>
    </row>
    <row r="338" spans="1:11" x14ac:dyDescent="0.35">
      <c r="A338" s="73">
        <v>45902</v>
      </c>
      <c r="B338" t="s">
        <v>90</v>
      </c>
      <c r="C338" s="3">
        <v>1500</v>
      </c>
      <c r="E338" s="3">
        <v>48960.71</v>
      </c>
      <c r="F338" t="str">
        <f>TEXT(Account_Data[[#This Row],[Date]],"mmm-yyyy")</f>
        <v>Sep-2025</v>
      </c>
      <c r="G338" t="str">
        <f>IF(Account_Data[[#This Row],[Credit]]&gt;0,"Income","Expense")</f>
        <v>Expense</v>
      </c>
      <c r="H3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338" s="3">
        <f>Account_Data[[#This Row],[Credit]]-Account_Data[[#This Row],[Debit]]</f>
        <v>-1500</v>
      </c>
      <c r="J338" s="7">
        <f>EOMONTH(Account_Data[[#This Row],[Date]],0)</f>
        <v>45930</v>
      </c>
      <c r="K338">
        <f>ABS(Account_Data[[#This Row],[Amount]])</f>
        <v>1500</v>
      </c>
    </row>
    <row r="339" spans="1:11" x14ac:dyDescent="0.35">
      <c r="A339" s="73">
        <v>45903</v>
      </c>
      <c r="B339" t="s">
        <v>92</v>
      </c>
      <c r="C339" s="3">
        <v>42956.15</v>
      </c>
      <c r="E339" s="3">
        <v>6004.56</v>
      </c>
      <c r="F339" t="str">
        <f>TEXT(Account_Data[[#This Row],[Date]],"mmm-yyyy")</f>
        <v>Sep-2025</v>
      </c>
      <c r="G339" t="str">
        <f>IF(Account_Data[[#This Row],[Credit]]&gt;0,"Income","Expense")</f>
        <v>Expense</v>
      </c>
      <c r="H3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39" s="3">
        <f>Account_Data[[#This Row],[Credit]]-Account_Data[[#This Row],[Debit]]</f>
        <v>-42956.15</v>
      </c>
      <c r="J339" s="7">
        <f>EOMONTH(Account_Data[[#This Row],[Date]],0)</f>
        <v>45930</v>
      </c>
      <c r="K339">
        <f>ABS(Account_Data[[#This Row],[Amount]])</f>
        <v>42956.15</v>
      </c>
    </row>
    <row r="340" spans="1:11" x14ac:dyDescent="0.35">
      <c r="A340" s="73">
        <v>45909</v>
      </c>
      <c r="B340" t="s">
        <v>97</v>
      </c>
      <c r="D340" s="3">
        <v>19420.8</v>
      </c>
      <c r="E340" s="3">
        <v>25425.360000000001</v>
      </c>
      <c r="F340" t="str">
        <f>TEXT(Account_Data[[#This Row],[Date]],"mmm-yyyy")</f>
        <v>Sep-2025</v>
      </c>
      <c r="G340" t="str">
        <f>IF(Account_Data[[#This Row],[Credit]]&gt;0,"Income","Expense")</f>
        <v>Income</v>
      </c>
      <c r="H3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40" s="3">
        <f>Account_Data[[#This Row],[Credit]]-Account_Data[[#This Row],[Debit]]</f>
        <v>19420.8</v>
      </c>
      <c r="J340" s="7">
        <f>EOMONTH(Account_Data[[#This Row],[Date]],0)</f>
        <v>45930</v>
      </c>
      <c r="K340">
        <f>ABS(Account_Data[[#This Row],[Amount]])</f>
        <v>19420.8</v>
      </c>
    </row>
    <row r="341" spans="1:11" x14ac:dyDescent="0.35">
      <c r="A341" s="73">
        <v>45909</v>
      </c>
      <c r="B341" t="s">
        <v>97</v>
      </c>
      <c r="D341" s="3">
        <v>7824.11</v>
      </c>
      <c r="E341" s="3">
        <v>33249.47</v>
      </c>
      <c r="F341" t="str">
        <f>TEXT(Account_Data[[#This Row],[Date]],"mmm-yyyy")</f>
        <v>Sep-2025</v>
      </c>
      <c r="G341" t="str">
        <f>IF(Account_Data[[#This Row],[Credit]]&gt;0,"Income","Expense")</f>
        <v>Income</v>
      </c>
      <c r="H3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41" s="3">
        <f>Account_Data[[#This Row],[Credit]]-Account_Data[[#This Row],[Debit]]</f>
        <v>7824.11</v>
      </c>
      <c r="J341" s="7">
        <f>EOMONTH(Account_Data[[#This Row],[Date]],0)</f>
        <v>45930</v>
      </c>
      <c r="K341">
        <f>ABS(Account_Data[[#This Row],[Amount]])</f>
        <v>7824.11</v>
      </c>
    </row>
    <row r="342" spans="1:11" x14ac:dyDescent="0.35">
      <c r="A342" s="73">
        <v>45909</v>
      </c>
      <c r="B342" t="s">
        <v>91</v>
      </c>
      <c r="C342" s="3">
        <v>6280</v>
      </c>
      <c r="E342" s="3">
        <v>26969.47</v>
      </c>
      <c r="F342" t="str">
        <f>TEXT(Account_Data[[#This Row],[Date]],"mmm-yyyy")</f>
        <v>Sep-2025</v>
      </c>
      <c r="G342" t="str">
        <f>IF(Account_Data[[#This Row],[Credit]]&gt;0,"Income","Expense")</f>
        <v>Expense</v>
      </c>
      <c r="H3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42" s="3">
        <f>Account_Data[[#This Row],[Credit]]-Account_Data[[#This Row],[Debit]]</f>
        <v>-6280</v>
      </c>
      <c r="J342" s="7">
        <f>EOMONTH(Account_Data[[#This Row],[Date]],0)</f>
        <v>45930</v>
      </c>
      <c r="K342">
        <f>ABS(Account_Data[[#This Row],[Amount]])</f>
        <v>6280</v>
      </c>
    </row>
    <row r="343" spans="1:11" x14ac:dyDescent="0.35">
      <c r="A343" s="73">
        <v>45909</v>
      </c>
      <c r="B343" t="s">
        <v>98</v>
      </c>
      <c r="D343" s="3">
        <v>15995.5</v>
      </c>
      <c r="E343" s="3">
        <v>42964.97</v>
      </c>
      <c r="F343" t="str">
        <f>TEXT(Account_Data[[#This Row],[Date]],"mmm-yyyy")</f>
        <v>Sep-2025</v>
      </c>
      <c r="G343" t="str">
        <f>IF(Account_Data[[#This Row],[Credit]]&gt;0,"Income","Expense")</f>
        <v>Income</v>
      </c>
      <c r="H3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43" s="3">
        <f>Account_Data[[#This Row],[Credit]]-Account_Data[[#This Row],[Debit]]</f>
        <v>15995.5</v>
      </c>
      <c r="J343" s="7">
        <f>EOMONTH(Account_Data[[#This Row],[Date]],0)</f>
        <v>45930</v>
      </c>
      <c r="K343">
        <f>ABS(Account_Data[[#This Row],[Amount]])</f>
        <v>15995.5</v>
      </c>
    </row>
    <row r="344" spans="1:11" x14ac:dyDescent="0.35">
      <c r="A344" s="73">
        <v>45909</v>
      </c>
      <c r="B344" t="s">
        <v>234</v>
      </c>
      <c r="C344" s="3">
        <v>199</v>
      </c>
      <c r="E344" s="3">
        <v>42765.97</v>
      </c>
      <c r="F344" t="str">
        <f>TEXT(Account_Data[[#This Row],[Date]],"mmm-yyyy")</f>
        <v>Sep-2025</v>
      </c>
      <c r="G344" t="str">
        <f>IF(Account_Data[[#This Row],[Credit]]&gt;0,"Income","Expense")</f>
        <v>Expense</v>
      </c>
      <c r="H3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44" s="3">
        <f>Account_Data[[#This Row],[Credit]]-Account_Data[[#This Row],[Debit]]</f>
        <v>-199</v>
      </c>
      <c r="J344" s="7">
        <f>EOMONTH(Account_Data[[#This Row],[Date]],0)</f>
        <v>45930</v>
      </c>
      <c r="K344">
        <f>ABS(Account_Data[[#This Row],[Amount]])</f>
        <v>199</v>
      </c>
    </row>
    <row r="345" spans="1:11" x14ac:dyDescent="0.35">
      <c r="A345" s="73">
        <v>45909</v>
      </c>
      <c r="B345" t="s">
        <v>146</v>
      </c>
      <c r="C345" s="3">
        <v>50</v>
      </c>
      <c r="E345" s="3">
        <v>42715.97</v>
      </c>
      <c r="F345" t="str">
        <f>TEXT(Account_Data[[#This Row],[Date]],"mmm-yyyy")</f>
        <v>Sep-2025</v>
      </c>
      <c r="G345" t="str">
        <f>IF(Account_Data[[#This Row],[Credit]]&gt;0,"Income","Expense")</f>
        <v>Expense</v>
      </c>
      <c r="H3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45" s="3">
        <f>Account_Data[[#This Row],[Credit]]-Account_Data[[#This Row],[Debit]]</f>
        <v>-50</v>
      </c>
      <c r="J345" s="7">
        <f>EOMONTH(Account_Data[[#This Row],[Date]],0)</f>
        <v>45930</v>
      </c>
      <c r="K345">
        <f>ABS(Account_Data[[#This Row],[Amount]])</f>
        <v>50</v>
      </c>
    </row>
    <row r="346" spans="1:11" x14ac:dyDescent="0.35">
      <c r="A346" s="73">
        <v>45910</v>
      </c>
      <c r="B346" t="s">
        <v>103</v>
      </c>
      <c r="D346" s="3">
        <v>17509.62</v>
      </c>
      <c r="E346" s="3">
        <v>60225.59</v>
      </c>
      <c r="F346" t="str">
        <f>TEXT(Account_Data[[#This Row],[Date]],"mmm-yyyy")</f>
        <v>Sep-2025</v>
      </c>
      <c r="G346" t="str">
        <f>IF(Account_Data[[#This Row],[Credit]]&gt;0,"Income","Expense")</f>
        <v>Income</v>
      </c>
      <c r="H3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Return</v>
      </c>
      <c r="I346" s="3">
        <f>Account_Data[[#This Row],[Credit]]-Account_Data[[#This Row],[Debit]]</f>
        <v>17509.62</v>
      </c>
      <c r="J346" s="7">
        <f>EOMONTH(Account_Data[[#This Row],[Date]],0)</f>
        <v>45930</v>
      </c>
      <c r="K346">
        <f>ABS(Account_Data[[#This Row],[Amount]])</f>
        <v>17509.62</v>
      </c>
    </row>
    <row r="347" spans="1:11" x14ac:dyDescent="0.35">
      <c r="A347" s="73">
        <v>45910</v>
      </c>
      <c r="B347" t="s">
        <v>102</v>
      </c>
      <c r="D347" s="3">
        <v>19419.810000000001</v>
      </c>
      <c r="E347" s="3">
        <v>79645.399999999994</v>
      </c>
      <c r="F347" t="str">
        <f>TEXT(Account_Data[[#This Row],[Date]],"mmm-yyyy")</f>
        <v>Sep-2025</v>
      </c>
      <c r="G347" t="str">
        <f>IF(Account_Data[[#This Row],[Credit]]&gt;0,"Income","Expense")</f>
        <v>Income</v>
      </c>
      <c r="H3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47" s="3">
        <f>Account_Data[[#This Row],[Credit]]-Account_Data[[#This Row],[Debit]]</f>
        <v>19419.810000000001</v>
      </c>
      <c r="J347" s="7">
        <f>EOMONTH(Account_Data[[#This Row],[Date]],0)</f>
        <v>45930</v>
      </c>
      <c r="K347">
        <f>ABS(Account_Data[[#This Row],[Amount]])</f>
        <v>19419.810000000001</v>
      </c>
    </row>
    <row r="348" spans="1:11" x14ac:dyDescent="0.35">
      <c r="A348" s="73">
        <v>45910</v>
      </c>
      <c r="B348" t="s">
        <v>173</v>
      </c>
      <c r="C348" s="3">
        <v>15650</v>
      </c>
      <c r="E348" s="3">
        <v>63995.4</v>
      </c>
      <c r="F348" t="str">
        <f>TEXT(Account_Data[[#This Row],[Date]],"mmm-yyyy")</f>
        <v>Sep-2025</v>
      </c>
      <c r="G348" t="str">
        <f>IF(Account_Data[[#This Row],[Credit]]&gt;0,"Income","Expense")</f>
        <v>Expense</v>
      </c>
      <c r="H3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48" s="3">
        <f>Account_Data[[#This Row],[Credit]]-Account_Data[[#This Row],[Debit]]</f>
        <v>-15650</v>
      </c>
      <c r="J348" s="7">
        <f>EOMONTH(Account_Data[[#This Row],[Date]],0)</f>
        <v>45930</v>
      </c>
      <c r="K348">
        <f>ABS(Account_Data[[#This Row],[Amount]])</f>
        <v>15650</v>
      </c>
    </row>
    <row r="349" spans="1:11" x14ac:dyDescent="0.35">
      <c r="A349" s="73">
        <v>45910</v>
      </c>
      <c r="B349" t="s">
        <v>273</v>
      </c>
      <c r="C349" s="3">
        <v>810</v>
      </c>
      <c r="E349" s="3">
        <v>63185.4</v>
      </c>
      <c r="F349" t="str">
        <f>TEXT(Account_Data[[#This Row],[Date]],"mmm-yyyy")</f>
        <v>Sep-2025</v>
      </c>
      <c r="G349" t="str">
        <f>IF(Account_Data[[#This Row],[Credit]]&gt;0,"Income","Expense")</f>
        <v>Expense</v>
      </c>
      <c r="H3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49" s="3">
        <f>Account_Data[[#This Row],[Credit]]-Account_Data[[#This Row],[Debit]]</f>
        <v>-810</v>
      </c>
      <c r="J349" s="7">
        <f>EOMONTH(Account_Data[[#This Row],[Date]],0)</f>
        <v>45930</v>
      </c>
      <c r="K349">
        <f>ABS(Account_Data[[#This Row],[Amount]])</f>
        <v>810</v>
      </c>
    </row>
    <row r="350" spans="1:11" x14ac:dyDescent="0.35">
      <c r="A350" s="73">
        <v>45910</v>
      </c>
      <c r="B350" t="s">
        <v>191</v>
      </c>
      <c r="C350" s="3">
        <v>2337</v>
      </c>
      <c r="E350" s="3">
        <v>60848.4</v>
      </c>
      <c r="F350" t="str">
        <f>TEXT(Account_Data[[#This Row],[Date]],"mmm-yyyy")</f>
        <v>Sep-2025</v>
      </c>
      <c r="G350" t="str">
        <f>IF(Account_Data[[#This Row],[Credit]]&gt;0,"Income","Expense")</f>
        <v>Expense</v>
      </c>
      <c r="H3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0" s="3">
        <f>Account_Data[[#This Row],[Credit]]-Account_Data[[#This Row],[Debit]]</f>
        <v>-2337</v>
      </c>
      <c r="J350" s="7">
        <f>EOMONTH(Account_Data[[#This Row],[Date]],0)</f>
        <v>45930</v>
      </c>
      <c r="K350">
        <f>ABS(Account_Data[[#This Row],[Amount]])</f>
        <v>2337</v>
      </c>
    </row>
    <row r="351" spans="1:11" x14ac:dyDescent="0.35">
      <c r="A351" s="73">
        <v>45910</v>
      </c>
      <c r="B351" t="s">
        <v>257</v>
      </c>
      <c r="C351" s="3">
        <v>20000</v>
      </c>
      <c r="E351" s="3">
        <v>40848.400000000001</v>
      </c>
      <c r="F351" t="str">
        <f>TEXT(Account_Data[[#This Row],[Date]],"mmm-yyyy")</f>
        <v>Sep-2025</v>
      </c>
      <c r="G351" t="str">
        <f>IF(Account_Data[[#This Row],[Credit]]&gt;0,"Income","Expense")</f>
        <v>Expense</v>
      </c>
      <c r="H3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351" s="3">
        <f>Account_Data[[#This Row],[Credit]]-Account_Data[[#This Row],[Debit]]</f>
        <v>-20000</v>
      </c>
      <c r="J351" s="7">
        <f>EOMONTH(Account_Data[[#This Row],[Date]],0)</f>
        <v>45930</v>
      </c>
      <c r="K351">
        <f>ABS(Account_Data[[#This Row],[Amount]])</f>
        <v>20000</v>
      </c>
    </row>
    <row r="352" spans="1:11" x14ac:dyDescent="0.35">
      <c r="A352" s="73">
        <v>45911</v>
      </c>
      <c r="B352" t="s">
        <v>198</v>
      </c>
      <c r="C352" s="3">
        <v>424</v>
      </c>
      <c r="E352" s="3">
        <v>40424.400000000001</v>
      </c>
      <c r="F352" t="str">
        <f>TEXT(Account_Data[[#This Row],[Date]],"mmm-yyyy")</f>
        <v>Sep-2025</v>
      </c>
      <c r="G352" t="str">
        <f>IF(Account_Data[[#This Row],[Credit]]&gt;0,"Income","Expense")</f>
        <v>Expense</v>
      </c>
      <c r="H3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2" s="3">
        <f>Account_Data[[#This Row],[Credit]]-Account_Data[[#This Row],[Debit]]</f>
        <v>-424</v>
      </c>
      <c r="J352" s="7">
        <f>EOMONTH(Account_Data[[#This Row],[Date]],0)</f>
        <v>45930</v>
      </c>
      <c r="K352">
        <f>ABS(Account_Data[[#This Row],[Amount]])</f>
        <v>424</v>
      </c>
    </row>
    <row r="353" spans="1:11" x14ac:dyDescent="0.35">
      <c r="A353" s="73">
        <v>45912</v>
      </c>
      <c r="B353" t="s">
        <v>121</v>
      </c>
      <c r="D353" s="3">
        <v>350</v>
      </c>
      <c r="E353" s="3">
        <v>40774.400000000001</v>
      </c>
      <c r="F353" t="str">
        <f>TEXT(Account_Data[[#This Row],[Date]],"mmm-yyyy")</f>
        <v>Sep-2025</v>
      </c>
      <c r="G353" t="str">
        <f>IF(Account_Data[[#This Row],[Credit]]&gt;0,"Income","Expense")</f>
        <v>Income</v>
      </c>
      <c r="H3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3" s="3">
        <f>Account_Data[[#This Row],[Credit]]-Account_Data[[#This Row],[Debit]]</f>
        <v>350</v>
      </c>
      <c r="J353" s="7">
        <f>EOMONTH(Account_Data[[#This Row],[Date]],0)</f>
        <v>45930</v>
      </c>
      <c r="K353">
        <f>ABS(Account_Data[[#This Row],[Amount]])</f>
        <v>350</v>
      </c>
    </row>
    <row r="354" spans="1:11" x14ac:dyDescent="0.35">
      <c r="A354" s="73">
        <v>45912</v>
      </c>
      <c r="B354" t="s">
        <v>274</v>
      </c>
      <c r="C354" s="3">
        <v>350</v>
      </c>
      <c r="E354" s="3">
        <v>40424.400000000001</v>
      </c>
      <c r="F354" t="str">
        <f>TEXT(Account_Data[[#This Row],[Date]],"mmm-yyyy")</f>
        <v>Sep-2025</v>
      </c>
      <c r="G354" t="str">
        <f>IF(Account_Data[[#This Row],[Credit]]&gt;0,"Income","Expense")</f>
        <v>Expense</v>
      </c>
      <c r="H3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4" s="3">
        <f>Account_Data[[#This Row],[Credit]]-Account_Data[[#This Row],[Debit]]</f>
        <v>-350</v>
      </c>
      <c r="J354" s="7">
        <f>EOMONTH(Account_Data[[#This Row],[Date]],0)</f>
        <v>45930</v>
      </c>
      <c r="K354">
        <f>ABS(Account_Data[[#This Row],[Amount]])</f>
        <v>350</v>
      </c>
    </row>
    <row r="355" spans="1:11" x14ac:dyDescent="0.35">
      <c r="A355" s="73">
        <v>45912</v>
      </c>
      <c r="B355" t="s">
        <v>275</v>
      </c>
      <c r="C355" s="3">
        <v>6154</v>
      </c>
      <c r="E355" s="3">
        <v>34270.400000000001</v>
      </c>
      <c r="F355" t="str">
        <f>TEXT(Account_Data[[#This Row],[Date]],"mmm-yyyy")</f>
        <v>Sep-2025</v>
      </c>
      <c r="G355" t="str">
        <f>IF(Account_Data[[#This Row],[Credit]]&gt;0,"Income","Expense")</f>
        <v>Expense</v>
      </c>
      <c r="H3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5" s="3">
        <f>Account_Data[[#This Row],[Credit]]-Account_Data[[#This Row],[Debit]]</f>
        <v>-6154</v>
      </c>
      <c r="J355" s="7">
        <f>EOMONTH(Account_Data[[#This Row],[Date]],0)</f>
        <v>45930</v>
      </c>
      <c r="K355">
        <f>ABS(Account_Data[[#This Row],[Amount]])</f>
        <v>6154</v>
      </c>
    </row>
    <row r="356" spans="1:11" x14ac:dyDescent="0.35">
      <c r="A356" s="73">
        <v>45912</v>
      </c>
      <c r="B356" t="s">
        <v>177</v>
      </c>
      <c r="C356" s="3">
        <v>8000</v>
      </c>
      <c r="E356" s="3">
        <v>26270.400000000001</v>
      </c>
      <c r="F356" t="str">
        <f>TEXT(Account_Data[[#This Row],[Date]],"mmm-yyyy")</f>
        <v>Sep-2025</v>
      </c>
      <c r="G356" t="str">
        <f>IF(Account_Data[[#This Row],[Credit]]&gt;0,"Income","Expense")</f>
        <v>Expense</v>
      </c>
      <c r="H3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6" s="3">
        <f>Account_Data[[#This Row],[Credit]]-Account_Data[[#This Row],[Debit]]</f>
        <v>-8000</v>
      </c>
      <c r="J356" s="7">
        <f>EOMONTH(Account_Data[[#This Row],[Date]],0)</f>
        <v>45930</v>
      </c>
      <c r="K356">
        <f>ABS(Account_Data[[#This Row],[Amount]])</f>
        <v>8000</v>
      </c>
    </row>
    <row r="357" spans="1:11" x14ac:dyDescent="0.35">
      <c r="A357" s="73">
        <v>45913</v>
      </c>
      <c r="B357" t="s">
        <v>276</v>
      </c>
      <c r="C357" s="3">
        <v>50</v>
      </c>
      <c r="E357" s="3">
        <v>26220.400000000001</v>
      </c>
      <c r="F357" t="str">
        <f>TEXT(Account_Data[[#This Row],[Date]],"mmm-yyyy")</f>
        <v>Sep-2025</v>
      </c>
      <c r="G357" t="str">
        <f>IF(Account_Data[[#This Row],[Credit]]&gt;0,"Income","Expense")</f>
        <v>Expense</v>
      </c>
      <c r="H3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7" s="3">
        <f>Account_Data[[#This Row],[Credit]]-Account_Data[[#This Row],[Debit]]</f>
        <v>-50</v>
      </c>
      <c r="J357" s="7">
        <f>EOMONTH(Account_Data[[#This Row],[Date]],0)</f>
        <v>45930</v>
      </c>
      <c r="K357">
        <f>ABS(Account_Data[[#This Row],[Amount]])</f>
        <v>50</v>
      </c>
    </row>
    <row r="358" spans="1:11" x14ac:dyDescent="0.35">
      <c r="A358" s="73">
        <v>45913</v>
      </c>
      <c r="B358" t="s">
        <v>277</v>
      </c>
      <c r="C358" s="3">
        <v>2728</v>
      </c>
      <c r="E358" s="3">
        <v>23492.400000000001</v>
      </c>
      <c r="F358" t="str">
        <f>TEXT(Account_Data[[#This Row],[Date]],"mmm-yyyy")</f>
        <v>Sep-2025</v>
      </c>
      <c r="G358" t="str">
        <f>IF(Account_Data[[#This Row],[Credit]]&gt;0,"Income","Expense")</f>
        <v>Expense</v>
      </c>
      <c r="H3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8" s="3">
        <f>Account_Data[[#This Row],[Credit]]-Account_Data[[#This Row],[Debit]]</f>
        <v>-2728</v>
      </c>
      <c r="J358" s="7">
        <f>EOMONTH(Account_Data[[#This Row],[Date]],0)</f>
        <v>45930</v>
      </c>
      <c r="K358">
        <f>ABS(Account_Data[[#This Row],[Amount]])</f>
        <v>2728</v>
      </c>
    </row>
    <row r="359" spans="1:11" x14ac:dyDescent="0.35">
      <c r="A359" s="73">
        <v>45915</v>
      </c>
      <c r="B359" t="s">
        <v>153</v>
      </c>
      <c r="C359" s="3">
        <v>11</v>
      </c>
      <c r="E359" s="3">
        <v>23481.4</v>
      </c>
      <c r="F359" t="str">
        <f>TEXT(Account_Data[[#This Row],[Date]],"mmm-yyyy")</f>
        <v>Sep-2025</v>
      </c>
      <c r="G359" t="str">
        <f>IF(Account_Data[[#This Row],[Credit]]&gt;0,"Income","Expense")</f>
        <v>Expense</v>
      </c>
      <c r="H3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59" s="3">
        <f>Account_Data[[#This Row],[Credit]]-Account_Data[[#This Row],[Debit]]</f>
        <v>-11</v>
      </c>
      <c r="J359" s="7">
        <f>EOMONTH(Account_Data[[#This Row],[Date]],0)</f>
        <v>45930</v>
      </c>
      <c r="K359">
        <f>ABS(Account_Data[[#This Row],[Amount]])</f>
        <v>11</v>
      </c>
    </row>
    <row r="360" spans="1:11" x14ac:dyDescent="0.35">
      <c r="A360" s="73">
        <v>45915</v>
      </c>
      <c r="B360" t="s">
        <v>153</v>
      </c>
      <c r="C360" s="3">
        <v>10</v>
      </c>
      <c r="E360" s="3">
        <v>23471.4</v>
      </c>
      <c r="F360" t="str">
        <f>TEXT(Account_Data[[#This Row],[Date]],"mmm-yyyy")</f>
        <v>Sep-2025</v>
      </c>
      <c r="G360" t="str">
        <f>IF(Account_Data[[#This Row],[Credit]]&gt;0,"Income","Expense")</f>
        <v>Expense</v>
      </c>
      <c r="H3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0" s="3">
        <f>Account_Data[[#This Row],[Credit]]-Account_Data[[#This Row],[Debit]]</f>
        <v>-10</v>
      </c>
      <c r="J360" s="7">
        <f>EOMONTH(Account_Data[[#This Row],[Date]],0)</f>
        <v>45930</v>
      </c>
      <c r="K360">
        <f>ABS(Account_Data[[#This Row],[Amount]])</f>
        <v>10</v>
      </c>
    </row>
    <row r="361" spans="1:11" x14ac:dyDescent="0.35">
      <c r="A361" s="73">
        <v>45916</v>
      </c>
      <c r="B361" t="s">
        <v>278</v>
      </c>
      <c r="C361" s="3">
        <v>50</v>
      </c>
      <c r="E361" s="3">
        <v>23421.4</v>
      </c>
      <c r="F361" t="str">
        <f>TEXT(Account_Data[[#This Row],[Date]],"mmm-yyyy")</f>
        <v>Sep-2025</v>
      </c>
      <c r="G361" t="str">
        <f>IF(Account_Data[[#This Row],[Credit]]&gt;0,"Income","Expense")</f>
        <v>Expense</v>
      </c>
      <c r="H3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1" s="3">
        <f>Account_Data[[#This Row],[Credit]]-Account_Data[[#This Row],[Debit]]</f>
        <v>-50</v>
      </c>
      <c r="J361" s="7">
        <f>EOMONTH(Account_Data[[#This Row],[Date]],0)</f>
        <v>45930</v>
      </c>
      <c r="K361">
        <f>ABS(Account_Data[[#This Row],[Amount]])</f>
        <v>50</v>
      </c>
    </row>
    <row r="362" spans="1:11" x14ac:dyDescent="0.35">
      <c r="A362" s="73">
        <v>45916</v>
      </c>
      <c r="B362" t="s">
        <v>153</v>
      </c>
      <c r="C362" s="3">
        <v>11</v>
      </c>
      <c r="E362" s="3">
        <v>23410.400000000001</v>
      </c>
      <c r="F362" t="str">
        <f>TEXT(Account_Data[[#This Row],[Date]],"mmm-yyyy")</f>
        <v>Sep-2025</v>
      </c>
      <c r="G362" t="str">
        <f>IF(Account_Data[[#This Row],[Credit]]&gt;0,"Income","Expense")</f>
        <v>Expense</v>
      </c>
      <c r="H3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2" s="3">
        <f>Account_Data[[#This Row],[Credit]]-Account_Data[[#This Row],[Debit]]</f>
        <v>-11</v>
      </c>
      <c r="J362" s="7">
        <f>EOMONTH(Account_Data[[#This Row],[Date]],0)</f>
        <v>45930</v>
      </c>
      <c r="K362">
        <f>ABS(Account_Data[[#This Row],[Amount]])</f>
        <v>11</v>
      </c>
    </row>
    <row r="363" spans="1:11" x14ac:dyDescent="0.35">
      <c r="A363" s="73">
        <v>45919</v>
      </c>
      <c r="B363" t="s">
        <v>171</v>
      </c>
      <c r="C363" s="3">
        <v>375</v>
      </c>
      <c r="E363" s="3">
        <v>23035.4</v>
      </c>
      <c r="F363" t="str">
        <f>TEXT(Account_Data[[#This Row],[Date]],"mmm-yyyy")</f>
        <v>Sep-2025</v>
      </c>
      <c r="G363" t="str">
        <f>IF(Account_Data[[#This Row],[Credit]]&gt;0,"Income","Expense")</f>
        <v>Expense</v>
      </c>
      <c r="H3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3" s="3">
        <f>Account_Data[[#This Row],[Credit]]-Account_Data[[#This Row],[Debit]]</f>
        <v>-375</v>
      </c>
      <c r="J363" s="7">
        <f>EOMONTH(Account_Data[[#This Row],[Date]],0)</f>
        <v>45930</v>
      </c>
      <c r="K363">
        <f>ABS(Account_Data[[#This Row],[Amount]])</f>
        <v>375</v>
      </c>
    </row>
    <row r="364" spans="1:11" x14ac:dyDescent="0.35">
      <c r="A364" s="73">
        <v>45919</v>
      </c>
      <c r="B364" t="s">
        <v>153</v>
      </c>
      <c r="C364" s="3">
        <v>10</v>
      </c>
      <c r="E364" s="3">
        <v>23025.4</v>
      </c>
      <c r="F364" t="str">
        <f>TEXT(Account_Data[[#This Row],[Date]],"mmm-yyyy")</f>
        <v>Sep-2025</v>
      </c>
      <c r="G364" t="str">
        <f>IF(Account_Data[[#This Row],[Credit]]&gt;0,"Income","Expense")</f>
        <v>Expense</v>
      </c>
      <c r="H3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4" s="3">
        <f>Account_Data[[#This Row],[Credit]]-Account_Data[[#This Row],[Debit]]</f>
        <v>-10</v>
      </c>
      <c r="J364" s="7">
        <f>EOMONTH(Account_Data[[#This Row],[Date]],0)</f>
        <v>45930</v>
      </c>
      <c r="K364">
        <f>ABS(Account_Data[[#This Row],[Amount]])</f>
        <v>10</v>
      </c>
    </row>
    <row r="365" spans="1:11" x14ac:dyDescent="0.35">
      <c r="A365" s="73">
        <v>45919</v>
      </c>
      <c r="B365" t="s">
        <v>279</v>
      </c>
      <c r="C365" s="3">
        <v>500</v>
      </c>
      <c r="E365" s="3">
        <v>22525.4</v>
      </c>
      <c r="F365" t="str">
        <f>TEXT(Account_Data[[#This Row],[Date]],"mmm-yyyy")</f>
        <v>Sep-2025</v>
      </c>
      <c r="G365" t="str">
        <f>IF(Account_Data[[#This Row],[Credit]]&gt;0,"Income","Expense")</f>
        <v>Expense</v>
      </c>
      <c r="H3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5" s="3">
        <f>Account_Data[[#This Row],[Credit]]-Account_Data[[#This Row],[Debit]]</f>
        <v>-500</v>
      </c>
      <c r="J365" s="7">
        <f>EOMONTH(Account_Data[[#This Row],[Date]],0)</f>
        <v>45930</v>
      </c>
      <c r="K365">
        <f>ABS(Account_Data[[#This Row],[Amount]])</f>
        <v>500</v>
      </c>
    </row>
    <row r="366" spans="1:11" x14ac:dyDescent="0.35">
      <c r="A366" s="73">
        <v>45920</v>
      </c>
      <c r="B366" t="s">
        <v>280</v>
      </c>
      <c r="C366" s="3">
        <v>70</v>
      </c>
      <c r="E366" s="3">
        <v>22455.4</v>
      </c>
      <c r="F366" t="str">
        <f>TEXT(Account_Data[[#This Row],[Date]],"mmm-yyyy")</f>
        <v>Sep-2025</v>
      </c>
      <c r="G366" t="str">
        <f>IF(Account_Data[[#This Row],[Credit]]&gt;0,"Income","Expense")</f>
        <v>Expense</v>
      </c>
      <c r="H3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6" s="3">
        <f>Account_Data[[#This Row],[Credit]]-Account_Data[[#This Row],[Debit]]</f>
        <v>-70</v>
      </c>
      <c r="J366" s="7">
        <f>EOMONTH(Account_Data[[#This Row],[Date]],0)</f>
        <v>45930</v>
      </c>
      <c r="K366">
        <f>ABS(Account_Data[[#This Row],[Amount]])</f>
        <v>70</v>
      </c>
    </row>
    <row r="367" spans="1:11" x14ac:dyDescent="0.35">
      <c r="A367" s="73">
        <v>45920</v>
      </c>
      <c r="B367" t="s">
        <v>281</v>
      </c>
      <c r="C367" s="3">
        <v>201</v>
      </c>
      <c r="E367" s="3">
        <v>22254.400000000001</v>
      </c>
      <c r="F367" t="str">
        <f>TEXT(Account_Data[[#This Row],[Date]],"mmm-yyyy")</f>
        <v>Sep-2025</v>
      </c>
      <c r="G367" t="str">
        <f>IF(Account_Data[[#This Row],[Credit]]&gt;0,"Income","Expense")</f>
        <v>Expense</v>
      </c>
      <c r="H3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7" s="3">
        <f>Account_Data[[#This Row],[Credit]]-Account_Data[[#This Row],[Debit]]</f>
        <v>-201</v>
      </c>
      <c r="J367" s="7">
        <f>EOMONTH(Account_Data[[#This Row],[Date]],0)</f>
        <v>45930</v>
      </c>
      <c r="K367">
        <f>ABS(Account_Data[[#This Row],[Amount]])</f>
        <v>201</v>
      </c>
    </row>
    <row r="368" spans="1:11" x14ac:dyDescent="0.35">
      <c r="A368" s="73">
        <v>45920</v>
      </c>
      <c r="B368" t="s">
        <v>282</v>
      </c>
      <c r="C368" s="3">
        <v>492</v>
      </c>
      <c r="E368" s="3">
        <v>21762.400000000001</v>
      </c>
      <c r="F368" t="str">
        <f>TEXT(Account_Data[[#This Row],[Date]],"mmm-yyyy")</f>
        <v>Sep-2025</v>
      </c>
      <c r="G368" t="str">
        <f>IF(Account_Data[[#This Row],[Credit]]&gt;0,"Income","Expense")</f>
        <v>Expense</v>
      </c>
      <c r="H3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8" s="3">
        <f>Account_Data[[#This Row],[Credit]]-Account_Data[[#This Row],[Debit]]</f>
        <v>-492</v>
      </c>
      <c r="J368" s="7">
        <f>EOMONTH(Account_Data[[#This Row],[Date]],0)</f>
        <v>45930</v>
      </c>
      <c r="K368">
        <f>ABS(Account_Data[[#This Row],[Amount]])</f>
        <v>492</v>
      </c>
    </row>
    <row r="369" spans="1:11" x14ac:dyDescent="0.35">
      <c r="A369" s="73">
        <v>45920</v>
      </c>
      <c r="B369" t="s">
        <v>283</v>
      </c>
      <c r="C369" s="3">
        <v>4050</v>
      </c>
      <c r="E369" s="3">
        <v>17712.400000000001</v>
      </c>
      <c r="F369" t="str">
        <f>TEXT(Account_Data[[#This Row],[Date]],"mmm-yyyy")</f>
        <v>Sep-2025</v>
      </c>
      <c r="G369" t="str">
        <f>IF(Account_Data[[#This Row],[Credit]]&gt;0,"Income","Expense")</f>
        <v>Expense</v>
      </c>
      <c r="H3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69" s="3">
        <f>Account_Data[[#This Row],[Credit]]-Account_Data[[#This Row],[Debit]]</f>
        <v>-4050</v>
      </c>
      <c r="J369" s="7">
        <f>EOMONTH(Account_Data[[#This Row],[Date]],0)</f>
        <v>45930</v>
      </c>
      <c r="K369">
        <f>ABS(Account_Data[[#This Row],[Amount]])</f>
        <v>4050</v>
      </c>
    </row>
    <row r="370" spans="1:11" x14ac:dyDescent="0.35">
      <c r="A370" s="73">
        <v>45921</v>
      </c>
      <c r="B370" t="s">
        <v>284</v>
      </c>
      <c r="C370" s="3">
        <v>10</v>
      </c>
      <c r="E370" s="3">
        <v>17702.400000000001</v>
      </c>
      <c r="F370" t="str">
        <f>TEXT(Account_Data[[#This Row],[Date]],"mmm-yyyy")</f>
        <v>Sep-2025</v>
      </c>
      <c r="G370" t="str">
        <f>IF(Account_Data[[#This Row],[Credit]]&gt;0,"Income","Expense")</f>
        <v>Expense</v>
      </c>
      <c r="H3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0" s="3">
        <f>Account_Data[[#This Row],[Credit]]-Account_Data[[#This Row],[Debit]]</f>
        <v>-10</v>
      </c>
      <c r="J370" s="7">
        <f>EOMONTH(Account_Data[[#This Row],[Date]],0)</f>
        <v>45930</v>
      </c>
      <c r="K370">
        <f>ABS(Account_Data[[#This Row],[Amount]])</f>
        <v>10</v>
      </c>
    </row>
    <row r="371" spans="1:11" x14ac:dyDescent="0.35">
      <c r="A371" s="73">
        <v>45921</v>
      </c>
      <c r="B371" t="s">
        <v>285</v>
      </c>
      <c r="C371" s="3">
        <v>6735</v>
      </c>
      <c r="E371" s="3">
        <v>10967.4</v>
      </c>
      <c r="F371" t="str">
        <f>TEXT(Account_Data[[#This Row],[Date]],"mmm-yyyy")</f>
        <v>Sep-2025</v>
      </c>
      <c r="G371" t="str">
        <f>IF(Account_Data[[#This Row],[Credit]]&gt;0,"Income","Expense")</f>
        <v>Expense</v>
      </c>
      <c r="H3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1" s="3">
        <f>Account_Data[[#This Row],[Credit]]-Account_Data[[#This Row],[Debit]]</f>
        <v>-6735</v>
      </c>
      <c r="J371" s="7">
        <f>EOMONTH(Account_Data[[#This Row],[Date]],0)</f>
        <v>45930</v>
      </c>
      <c r="K371">
        <f>ABS(Account_Data[[#This Row],[Amount]])</f>
        <v>6735</v>
      </c>
    </row>
    <row r="372" spans="1:11" x14ac:dyDescent="0.35">
      <c r="A372" s="73">
        <v>45921</v>
      </c>
      <c r="B372" t="s">
        <v>153</v>
      </c>
      <c r="C372" s="3">
        <v>11</v>
      </c>
      <c r="E372" s="3">
        <v>10956.4</v>
      </c>
      <c r="F372" t="str">
        <f>TEXT(Account_Data[[#This Row],[Date]],"mmm-yyyy")</f>
        <v>Sep-2025</v>
      </c>
      <c r="G372" t="str">
        <f>IF(Account_Data[[#This Row],[Credit]]&gt;0,"Income","Expense")</f>
        <v>Expense</v>
      </c>
      <c r="H3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2" s="3">
        <f>Account_Data[[#This Row],[Credit]]-Account_Data[[#This Row],[Debit]]</f>
        <v>-11</v>
      </c>
      <c r="J372" s="7">
        <f>EOMONTH(Account_Data[[#This Row],[Date]],0)</f>
        <v>45930</v>
      </c>
      <c r="K372">
        <f>ABS(Account_Data[[#This Row],[Amount]])</f>
        <v>11</v>
      </c>
    </row>
    <row r="373" spans="1:11" x14ac:dyDescent="0.35">
      <c r="A373" s="73">
        <v>45921</v>
      </c>
      <c r="B373" t="s">
        <v>153</v>
      </c>
      <c r="C373" s="3">
        <v>11</v>
      </c>
      <c r="E373" s="3">
        <v>10945.4</v>
      </c>
      <c r="F373" t="str">
        <f>TEXT(Account_Data[[#This Row],[Date]],"mmm-yyyy")</f>
        <v>Sep-2025</v>
      </c>
      <c r="G373" t="str">
        <f>IF(Account_Data[[#This Row],[Credit]]&gt;0,"Income","Expense")</f>
        <v>Expense</v>
      </c>
      <c r="H3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3" s="3">
        <f>Account_Data[[#This Row],[Credit]]-Account_Data[[#This Row],[Debit]]</f>
        <v>-11</v>
      </c>
      <c r="J373" s="7">
        <f>EOMONTH(Account_Data[[#This Row],[Date]],0)</f>
        <v>45930</v>
      </c>
      <c r="K373">
        <f>ABS(Account_Data[[#This Row],[Amount]])</f>
        <v>11</v>
      </c>
    </row>
    <row r="374" spans="1:11" x14ac:dyDescent="0.35">
      <c r="A374" s="73">
        <v>45924</v>
      </c>
      <c r="B374" t="s">
        <v>122</v>
      </c>
      <c r="D374" s="3">
        <v>59.52</v>
      </c>
      <c r="E374" s="3">
        <v>11004.92</v>
      </c>
      <c r="F374" t="str">
        <f>TEXT(Account_Data[[#This Row],[Date]],"mmm-yyyy")</f>
        <v>Sep-2025</v>
      </c>
      <c r="G374" t="str">
        <f>IF(Account_Data[[#This Row],[Credit]]&gt;0,"Income","Expense")</f>
        <v>Income</v>
      </c>
      <c r="H3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74" s="3">
        <f>Account_Data[[#This Row],[Credit]]-Account_Data[[#This Row],[Debit]]</f>
        <v>59.52</v>
      </c>
      <c r="J374" s="7">
        <f>EOMONTH(Account_Data[[#This Row],[Date]],0)</f>
        <v>45930</v>
      </c>
      <c r="K374">
        <f>ABS(Account_Data[[#This Row],[Amount]])</f>
        <v>59.52</v>
      </c>
    </row>
    <row r="375" spans="1:11" x14ac:dyDescent="0.35">
      <c r="A375" s="73">
        <v>45924</v>
      </c>
      <c r="B375" t="s">
        <v>286</v>
      </c>
      <c r="C375" s="3">
        <v>1100</v>
      </c>
      <c r="E375" s="3">
        <v>9904.92</v>
      </c>
      <c r="F375" t="str">
        <f>TEXT(Account_Data[[#This Row],[Date]],"mmm-yyyy")</f>
        <v>Sep-2025</v>
      </c>
      <c r="G375" t="str">
        <f>IF(Account_Data[[#This Row],[Credit]]&gt;0,"Income","Expense")</f>
        <v>Expense</v>
      </c>
      <c r="H3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5" s="3">
        <f>Account_Data[[#This Row],[Credit]]-Account_Data[[#This Row],[Debit]]</f>
        <v>-1100</v>
      </c>
      <c r="J375" s="7">
        <f>EOMONTH(Account_Data[[#This Row],[Date]],0)</f>
        <v>45930</v>
      </c>
      <c r="K375">
        <f>ABS(Account_Data[[#This Row],[Amount]])</f>
        <v>1100</v>
      </c>
    </row>
    <row r="376" spans="1:11" x14ac:dyDescent="0.35">
      <c r="A376" s="73">
        <v>45925</v>
      </c>
      <c r="B376" t="s">
        <v>115</v>
      </c>
      <c r="D376" s="3">
        <v>180</v>
      </c>
      <c r="E376" s="3">
        <v>10084.92</v>
      </c>
      <c r="F376" t="str">
        <f>TEXT(Account_Data[[#This Row],[Date]],"mmm-yyyy")</f>
        <v>Sep-2025</v>
      </c>
      <c r="G376" t="str">
        <f>IF(Account_Data[[#This Row],[Credit]]&gt;0,"Income","Expense")</f>
        <v>Income</v>
      </c>
      <c r="H3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76" s="3">
        <f>Account_Data[[#This Row],[Credit]]-Account_Data[[#This Row],[Debit]]</f>
        <v>180</v>
      </c>
      <c r="J376" s="7">
        <f>EOMONTH(Account_Data[[#This Row],[Date]],0)</f>
        <v>45930</v>
      </c>
      <c r="K376">
        <f>ABS(Account_Data[[#This Row],[Amount]])</f>
        <v>180</v>
      </c>
    </row>
    <row r="377" spans="1:11" x14ac:dyDescent="0.35">
      <c r="A377" s="73">
        <v>45926</v>
      </c>
      <c r="B377" t="s">
        <v>492</v>
      </c>
      <c r="D377" s="3">
        <v>17951</v>
      </c>
      <c r="E377" s="3">
        <v>28035.919999999998</v>
      </c>
      <c r="F377" t="str">
        <f>TEXT(Account_Data[[#This Row],[Date]],"mmm-yyyy")</f>
        <v>Sep-2025</v>
      </c>
      <c r="G377" t="str">
        <f>IF(Account_Data[[#This Row],[Credit]]&gt;0,"Income","Expense")</f>
        <v>Income</v>
      </c>
      <c r="H3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377" s="3">
        <f>Account_Data[[#This Row],[Credit]]-Account_Data[[#This Row],[Debit]]</f>
        <v>17951</v>
      </c>
      <c r="J377" s="7">
        <f>EOMONTH(Account_Data[[#This Row],[Date]],0)</f>
        <v>45930</v>
      </c>
      <c r="K377">
        <f>ABS(Account_Data[[#This Row],[Amount]])</f>
        <v>17951</v>
      </c>
    </row>
    <row r="378" spans="1:11" x14ac:dyDescent="0.35">
      <c r="A378" s="73">
        <v>45926</v>
      </c>
      <c r="B378" t="s">
        <v>493</v>
      </c>
      <c r="D378" s="3">
        <v>112523</v>
      </c>
      <c r="E378" s="3">
        <v>140558.92000000001</v>
      </c>
      <c r="F378" t="str">
        <f>TEXT(Account_Data[[#This Row],[Date]],"mmm-yyyy")</f>
        <v>Sep-2025</v>
      </c>
      <c r="G378" t="str">
        <f>IF(Account_Data[[#This Row],[Credit]]&gt;0,"Income","Expense")</f>
        <v>Income</v>
      </c>
      <c r="H3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378" s="3">
        <f>Account_Data[[#This Row],[Credit]]-Account_Data[[#This Row],[Debit]]</f>
        <v>112523</v>
      </c>
      <c r="J378" s="7">
        <f>EOMONTH(Account_Data[[#This Row],[Date]],0)</f>
        <v>45930</v>
      </c>
      <c r="K378">
        <f>ABS(Account_Data[[#This Row],[Amount]])</f>
        <v>112523</v>
      </c>
    </row>
    <row r="379" spans="1:11" x14ac:dyDescent="0.35">
      <c r="A379" s="73">
        <v>45926</v>
      </c>
      <c r="B379" t="s">
        <v>287</v>
      </c>
      <c r="C379" s="3">
        <v>526.15</v>
      </c>
      <c r="E379" s="3">
        <v>140032.76999999999</v>
      </c>
      <c r="F379" t="str">
        <f>TEXT(Account_Data[[#This Row],[Date]],"mmm-yyyy")</f>
        <v>Sep-2025</v>
      </c>
      <c r="G379" t="str">
        <f>IF(Account_Data[[#This Row],[Credit]]&gt;0,"Income","Expense")</f>
        <v>Expense</v>
      </c>
      <c r="H3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79" s="3">
        <f>Account_Data[[#This Row],[Credit]]-Account_Data[[#This Row],[Debit]]</f>
        <v>-526.15</v>
      </c>
      <c r="J379" s="7">
        <f>EOMONTH(Account_Data[[#This Row],[Date]],0)</f>
        <v>45930</v>
      </c>
      <c r="K379">
        <f>ABS(Account_Data[[#This Row],[Amount]])</f>
        <v>526.15</v>
      </c>
    </row>
    <row r="380" spans="1:11" x14ac:dyDescent="0.35">
      <c r="A380" s="73">
        <v>45926</v>
      </c>
      <c r="B380" t="s">
        <v>283</v>
      </c>
      <c r="C380" s="3">
        <v>4200</v>
      </c>
      <c r="E380" s="3">
        <v>135832.76999999999</v>
      </c>
      <c r="F380" t="str">
        <f>TEXT(Account_Data[[#This Row],[Date]],"mmm-yyyy")</f>
        <v>Sep-2025</v>
      </c>
      <c r="G380" t="str">
        <f>IF(Account_Data[[#This Row],[Credit]]&gt;0,"Income","Expense")</f>
        <v>Expense</v>
      </c>
      <c r="H3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0" s="3">
        <f>Account_Data[[#This Row],[Credit]]-Account_Data[[#This Row],[Debit]]</f>
        <v>-4200</v>
      </c>
      <c r="J380" s="7">
        <f>EOMONTH(Account_Data[[#This Row],[Date]],0)</f>
        <v>45930</v>
      </c>
      <c r="K380">
        <f>ABS(Account_Data[[#This Row],[Amount]])</f>
        <v>4200</v>
      </c>
    </row>
    <row r="381" spans="1:11" x14ac:dyDescent="0.35">
      <c r="A381" s="73">
        <v>45927</v>
      </c>
      <c r="B381" t="s">
        <v>145</v>
      </c>
      <c r="C381" s="3">
        <v>20000</v>
      </c>
      <c r="E381" s="3">
        <v>115832.77</v>
      </c>
      <c r="F381" t="str">
        <f>TEXT(Account_Data[[#This Row],[Date]],"mmm-yyyy")</f>
        <v>Sep-2025</v>
      </c>
      <c r="G381" t="str">
        <f>IF(Account_Data[[#This Row],[Credit]]&gt;0,"Income","Expense")</f>
        <v>Expense</v>
      </c>
      <c r="H3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1" s="3">
        <f>Account_Data[[#This Row],[Credit]]-Account_Data[[#This Row],[Debit]]</f>
        <v>-20000</v>
      </c>
      <c r="J381" s="7">
        <f>EOMONTH(Account_Data[[#This Row],[Date]],0)</f>
        <v>45930</v>
      </c>
      <c r="K381">
        <f>ABS(Account_Data[[#This Row],[Amount]])</f>
        <v>20000</v>
      </c>
    </row>
    <row r="382" spans="1:11" x14ac:dyDescent="0.35">
      <c r="A382" s="73">
        <v>45927</v>
      </c>
      <c r="B382" t="s">
        <v>191</v>
      </c>
      <c r="C382" s="3">
        <v>50000</v>
      </c>
      <c r="E382" s="3">
        <v>65832.77</v>
      </c>
      <c r="F382" t="str">
        <f>TEXT(Account_Data[[#This Row],[Date]],"mmm-yyyy")</f>
        <v>Sep-2025</v>
      </c>
      <c r="G382" t="str">
        <f>IF(Account_Data[[#This Row],[Credit]]&gt;0,"Income","Expense")</f>
        <v>Expense</v>
      </c>
      <c r="H3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2" s="3">
        <f>Account_Data[[#This Row],[Credit]]-Account_Data[[#This Row],[Debit]]</f>
        <v>-50000</v>
      </c>
      <c r="J382" s="7">
        <f>EOMONTH(Account_Data[[#This Row],[Date]],0)</f>
        <v>45930</v>
      </c>
      <c r="K382">
        <f>ABS(Account_Data[[#This Row],[Amount]])</f>
        <v>50000</v>
      </c>
    </row>
    <row r="383" spans="1:11" x14ac:dyDescent="0.35">
      <c r="A383" s="73">
        <v>45928</v>
      </c>
      <c r="B383" t="s">
        <v>288</v>
      </c>
      <c r="C383" s="3">
        <v>200</v>
      </c>
      <c r="E383" s="3">
        <v>65632.77</v>
      </c>
      <c r="F383" t="str">
        <f>TEXT(Account_Data[[#This Row],[Date]],"mmm-yyyy")</f>
        <v>Sep-2025</v>
      </c>
      <c r="G383" t="str">
        <f>IF(Account_Data[[#This Row],[Credit]]&gt;0,"Income","Expense")</f>
        <v>Expense</v>
      </c>
      <c r="H3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3" s="3">
        <f>Account_Data[[#This Row],[Credit]]-Account_Data[[#This Row],[Debit]]</f>
        <v>-200</v>
      </c>
      <c r="J383" s="7">
        <f>EOMONTH(Account_Data[[#This Row],[Date]],0)</f>
        <v>45930</v>
      </c>
      <c r="K383">
        <f>ABS(Account_Data[[#This Row],[Amount]])</f>
        <v>200</v>
      </c>
    </row>
    <row r="384" spans="1:11" x14ac:dyDescent="0.35">
      <c r="A384" s="73">
        <v>45928</v>
      </c>
      <c r="B384" t="s">
        <v>289</v>
      </c>
      <c r="C384" s="3">
        <v>295</v>
      </c>
      <c r="E384" s="3">
        <v>65337.77</v>
      </c>
      <c r="F384" t="str">
        <f>TEXT(Account_Data[[#This Row],[Date]],"mmm-yyyy")</f>
        <v>Sep-2025</v>
      </c>
      <c r="G384" t="str">
        <f>IF(Account_Data[[#This Row],[Credit]]&gt;0,"Income","Expense")</f>
        <v>Expense</v>
      </c>
      <c r="H3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4" s="3">
        <f>Account_Data[[#This Row],[Credit]]-Account_Data[[#This Row],[Debit]]</f>
        <v>-295</v>
      </c>
      <c r="J384" s="7">
        <f>EOMONTH(Account_Data[[#This Row],[Date]],0)</f>
        <v>45930</v>
      </c>
      <c r="K384">
        <f>ABS(Account_Data[[#This Row],[Amount]])</f>
        <v>295</v>
      </c>
    </row>
    <row r="385" spans="1:11" x14ac:dyDescent="0.35">
      <c r="A385" s="73">
        <v>45929</v>
      </c>
      <c r="B385" t="s">
        <v>290</v>
      </c>
      <c r="C385" s="3">
        <v>1848</v>
      </c>
      <c r="E385" s="3">
        <v>63489.77</v>
      </c>
      <c r="F385" t="str">
        <f>TEXT(Account_Data[[#This Row],[Date]],"mmm-yyyy")</f>
        <v>Sep-2025</v>
      </c>
      <c r="G385" t="str">
        <f>IF(Account_Data[[#This Row],[Credit]]&gt;0,"Income","Expense")</f>
        <v>Expense</v>
      </c>
      <c r="H3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5" s="3">
        <f>Account_Data[[#This Row],[Credit]]-Account_Data[[#This Row],[Debit]]</f>
        <v>-1848</v>
      </c>
      <c r="J385" s="7">
        <f>EOMONTH(Account_Data[[#This Row],[Date]],0)</f>
        <v>45930</v>
      </c>
      <c r="K385">
        <f>ABS(Account_Data[[#This Row],[Amount]])</f>
        <v>1848</v>
      </c>
    </row>
    <row r="386" spans="1:11" x14ac:dyDescent="0.35">
      <c r="A386" s="73">
        <v>45929</v>
      </c>
      <c r="B386" t="s">
        <v>99</v>
      </c>
      <c r="C386" s="3">
        <v>1000</v>
      </c>
      <c r="E386" s="3">
        <v>62489.77</v>
      </c>
      <c r="F386" t="str">
        <f>TEXT(Account_Data[[#This Row],[Date]],"mmm-yyyy")</f>
        <v>Sep-2025</v>
      </c>
      <c r="G386" t="str">
        <f>IF(Account_Data[[#This Row],[Credit]]&gt;0,"Income","Expense")</f>
        <v>Expense</v>
      </c>
      <c r="H3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386" s="3">
        <f>Account_Data[[#This Row],[Credit]]-Account_Data[[#This Row],[Debit]]</f>
        <v>-1000</v>
      </c>
      <c r="J386" s="7">
        <f>EOMONTH(Account_Data[[#This Row],[Date]],0)</f>
        <v>45930</v>
      </c>
      <c r="K386">
        <f>ABS(Account_Data[[#This Row],[Amount]])</f>
        <v>1000</v>
      </c>
    </row>
    <row r="387" spans="1:11" x14ac:dyDescent="0.35">
      <c r="A387" s="73">
        <v>45930</v>
      </c>
      <c r="B387" t="s">
        <v>153</v>
      </c>
      <c r="C387" s="3">
        <v>30</v>
      </c>
      <c r="E387" s="3">
        <v>62459.77</v>
      </c>
      <c r="F387" t="str">
        <f>TEXT(Account_Data[[#This Row],[Date]],"mmm-yyyy")</f>
        <v>Sep-2025</v>
      </c>
      <c r="G387" t="str">
        <f>IF(Account_Data[[#This Row],[Credit]]&gt;0,"Income","Expense")</f>
        <v>Expense</v>
      </c>
      <c r="H3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87" s="3">
        <f>Account_Data[[#This Row],[Credit]]-Account_Data[[#This Row],[Debit]]</f>
        <v>-30</v>
      </c>
      <c r="J387" s="7">
        <f>EOMONTH(Account_Data[[#This Row],[Date]],0)</f>
        <v>45930</v>
      </c>
      <c r="K387">
        <f>ABS(Account_Data[[#This Row],[Amount]])</f>
        <v>30</v>
      </c>
    </row>
    <row r="388" spans="1:11" x14ac:dyDescent="0.35">
      <c r="A388" s="73">
        <v>45931</v>
      </c>
      <c r="B388" t="s">
        <v>89</v>
      </c>
      <c r="C388" s="3">
        <v>2000</v>
      </c>
      <c r="E388" s="3">
        <v>60459.77</v>
      </c>
      <c r="F388" t="str">
        <f>TEXT(Account_Data[[#This Row],[Date]],"mmm-yyyy")</f>
        <v>Oct-2025</v>
      </c>
      <c r="G388" t="str">
        <f>IF(Account_Data[[#This Row],[Credit]]&gt;0,"Income","Expense")</f>
        <v>Expense</v>
      </c>
      <c r="H3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88" s="3">
        <f>Account_Data[[#This Row],[Credit]]-Account_Data[[#This Row],[Debit]]</f>
        <v>-2000</v>
      </c>
      <c r="J388" s="7">
        <f>EOMONTH(Account_Data[[#This Row],[Date]],0)</f>
        <v>45961</v>
      </c>
      <c r="K388">
        <f>ABS(Account_Data[[#This Row],[Amount]])</f>
        <v>2000</v>
      </c>
    </row>
    <row r="389" spans="1:11" x14ac:dyDescent="0.35">
      <c r="A389" s="73">
        <v>45931</v>
      </c>
      <c r="B389" t="s">
        <v>89</v>
      </c>
      <c r="C389" s="3">
        <v>2000</v>
      </c>
      <c r="E389" s="3">
        <v>58459.77</v>
      </c>
      <c r="F389" t="str">
        <f>TEXT(Account_Data[[#This Row],[Date]],"mmm-yyyy")</f>
        <v>Oct-2025</v>
      </c>
      <c r="G389" t="str">
        <f>IF(Account_Data[[#This Row],[Credit]]&gt;0,"Income","Expense")</f>
        <v>Expense</v>
      </c>
      <c r="H3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89" s="3">
        <f>Account_Data[[#This Row],[Credit]]-Account_Data[[#This Row],[Debit]]</f>
        <v>-2000</v>
      </c>
      <c r="J389" s="7">
        <f>EOMONTH(Account_Data[[#This Row],[Date]],0)</f>
        <v>45961</v>
      </c>
      <c r="K389">
        <f>ABS(Account_Data[[#This Row],[Amount]])</f>
        <v>2000</v>
      </c>
    </row>
    <row r="390" spans="1:11" x14ac:dyDescent="0.35">
      <c r="A390" s="73">
        <v>45931</v>
      </c>
      <c r="B390" t="s">
        <v>89</v>
      </c>
      <c r="C390" s="3">
        <v>5000</v>
      </c>
      <c r="E390" s="3">
        <v>53459.77</v>
      </c>
      <c r="F390" t="str">
        <f>TEXT(Account_Data[[#This Row],[Date]],"mmm-yyyy")</f>
        <v>Oct-2025</v>
      </c>
      <c r="G390" t="str">
        <f>IF(Account_Data[[#This Row],[Credit]]&gt;0,"Income","Expense")</f>
        <v>Expense</v>
      </c>
      <c r="H3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0" s="3">
        <f>Account_Data[[#This Row],[Credit]]-Account_Data[[#This Row],[Debit]]</f>
        <v>-5000</v>
      </c>
      <c r="J390" s="7">
        <f>EOMONTH(Account_Data[[#This Row],[Date]],0)</f>
        <v>45961</v>
      </c>
      <c r="K390">
        <f>ABS(Account_Data[[#This Row],[Amount]])</f>
        <v>5000</v>
      </c>
    </row>
    <row r="391" spans="1:11" x14ac:dyDescent="0.35">
      <c r="A391" s="73">
        <v>45931</v>
      </c>
      <c r="B391" t="s">
        <v>89</v>
      </c>
      <c r="C391" s="3">
        <v>2000</v>
      </c>
      <c r="E391" s="3">
        <v>51459.77</v>
      </c>
      <c r="F391" t="str">
        <f>TEXT(Account_Data[[#This Row],[Date]],"mmm-yyyy")</f>
        <v>Oct-2025</v>
      </c>
      <c r="G391" t="str">
        <f>IF(Account_Data[[#This Row],[Credit]]&gt;0,"Income","Expense")</f>
        <v>Expense</v>
      </c>
      <c r="H3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1" s="3">
        <f>Account_Data[[#This Row],[Credit]]-Account_Data[[#This Row],[Debit]]</f>
        <v>-2000</v>
      </c>
      <c r="J391" s="7">
        <f>EOMONTH(Account_Data[[#This Row],[Date]],0)</f>
        <v>45961</v>
      </c>
      <c r="K391">
        <f>ABS(Account_Data[[#This Row],[Amount]])</f>
        <v>2000</v>
      </c>
    </row>
    <row r="392" spans="1:11" x14ac:dyDescent="0.35">
      <c r="A392" s="73">
        <v>45931</v>
      </c>
      <c r="B392" t="s">
        <v>89</v>
      </c>
      <c r="C392" s="3">
        <v>5000</v>
      </c>
      <c r="E392" s="3">
        <v>46459.77</v>
      </c>
      <c r="F392" t="str">
        <f>TEXT(Account_Data[[#This Row],[Date]],"mmm-yyyy")</f>
        <v>Oct-2025</v>
      </c>
      <c r="G392" t="str">
        <f>IF(Account_Data[[#This Row],[Credit]]&gt;0,"Income","Expense")</f>
        <v>Expense</v>
      </c>
      <c r="H3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2" s="3">
        <f>Account_Data[[#This Row],[Credit]]-Account_Data[[#This Row],[Debit]]</f>
        <v>-5000</v>
      </c>
      <c r="J392" s="7">
        <f>EOMONTH(Account_Data[[#This Row],[Date]],0)</f>
        <v>45961</v>
      </c>
      <c r="K392">
        <f>ABS(Account_Data[[#This Row],[Amount]])</f>
        <v>5000</v>
      </c>
    </row>
    <row r="393" spans="1:11" x14ac:dyDescent="0.35">
      <c r="A393" s="73">
        <v>45931</v>
      </c>
      <c r="B393" t="s">
        <v>89</v>
      </c>
      <c r="C393" s="3">
        <v>3000</v>
      </c>
      <c r="E393" s="3">
        <v>43459.77</v>
      </c>
      <c r="F393" t="str">
        <f>TEXT(Account_Data[[#This Row],[Date]],"mmm-yyyy")</f>
        <v>Oct-2025</v>
      </c>
      <c r="G393" t="str">
        <f>IF(Account_Data[[#This Row],[Credit]]&gt;0,"Income","Expense")</f>
        <v>Expense</v>
      </c>
      <c r="H3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3" s="3">
        <f>Account_Data[[#This Row],[Credit]]-Account_Data[[#This Row],[Debit]]</f>
        <v>-3000</v>
      </c>
      <c r="J393" s="7">
        <f>EOMONTH(Account_Data[[#This Row],[Date]],0)</f>
        <v>45961</v>
      </c>
      <c r="K393">
        <f>ABS(Account_Data[[#This Row],[Amount]])</f>
        <v>3000</v>
      </c>
    </row>
    <row r="394" spans="1:11" x14ac:dyDescent="0.35">
      <c r="A394" s="73">
        <v>45931</v>
      </c>
      <c r="B394" t="s">
        <v>90</v>
      </c>
      <c r="C394" s="3">
        <v>1000</v>
      </c>
      <c r="E394" s="3">
        <v>42459.77</v>
      </c>
      <c r="F394" t="str">
        <f>TEXT(Account_Data[[#This Row],[Date]],"mmm-yyyy")</f>
        <v>Oct-2025</v>
      </c>
      <c r="G394" t="str">
        <f>IF(Account_Data[[#This Row],[Credit]]&gt;0,"Income","Expense")</f>
        <v>Expense</v>
      </c>
      <c r="H3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394" s="3">
        <f>Account_Data[[#This Row],[Credit]]-Account_Data[[#This Row],[Debit]]</f>
        <v>-1000</v>
      </c>
      <c r="J394" s="7">
        <f>EOMONTH(Account_Data[[#This Row],[Date]],0)</f>
        <v>45961</v>
      </c>
      <c r="K394">
        <f>ABS(Account_Data[[#This Row],[Amount]])</f>
        <v>1000</v>
      </c>
    </row>
    <row r="395" spans="1:11" x14ac:dyDescent="0.35">
      <c r="A395" s="73">
        <v>45931</v>
      </c>
      <c r="B395" t="s">
        <v>110</v>
      </c>
      <c r="C395" s="3">
        <v>15638</v>
      </c>
      <c r="E395" s="3">
        <v>26821.77</v>
      </c>
      <c r="F395" t="str">
        <f>TEXT(Account_Data[[#This Row],[Date]],"mmm-yyyy")</f>
        <v>Oct-2025</v>
      </c>
      <c r="G395" t="str">
        <f>IF(Account_Data[[#This Row],[Credit]]&gt;0,"Income","Expense")</f>
        <v>Expense</v>
      </c>
      <c r="H3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5" s="3">
        <f>Account_Data[[#This Row],[Credit]]-Account_Data[[#This Row],[Debit]]</f>
        <v>-15638</v>
      </c>
      <c r="J395" s="7">
        <f>EOMONTH(Account_Data[[#This Row],[Date]],0)</f>
        <v>45961</v>
      </c>
      <c r="K395">
        <f>ABS(Account_Data[[#This Row],[Amount]])</f>
        <v>15638</v>
      </c>
    </row>
    <row r="396" spans="1:11" x14ac:dyDescent="0.35">
      <c r="A396" s="73">
        <v>45932</v>
      </c>
      <c r="B396" t="s">
        <v>91</v>
      </c>
      <c r="C396" s="3">
        <v>7717</v>
      </c>
      <c r="E396" s="3">
        <v>19104.77</v>
      </c>
      <c r="F396" t="str">
        <f>TEXT(Account_Data[[#This Row],[Date]],"mmm-yyyy")</f>
        <v>Oct-2025</v>
      </c>
      <c r="G396" t="str">
        <f>IF(Account_Data[[#This Row],[Credit]]&gt;0,"Income","Expense")</f>
        <v>Expense</v>
      </c>
      <c r="H3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6" s="3">
        <f>Account_Data[[#This Row],[Credit]]-Account_Data[[#This Row],[Debit]]</f>
        <v>-7717</v>
      </c>
      <c r="J396" s="7">
        <f>EOMONTH(Account_Data[[#This Row],[Date]],0)</f>
        <v>45961</v>
      </c>
      <c r="K396">
        <f>ABS(Account_Data[[#This Row],[Amount]])</f>
        <v>7717</v>
      </c>
    </row>
    <row r="397" spans="1:11" x14ac:dyDescent="0.35">
      <c r="A397" s="73">
        <v>45932</v>
      </c>
      <c r="B397" t="s">
        <v>91</v>
      </c>
      <c r="C397" s="3">
        <v>8704</v>
      </c>
      <c r="E397" s="3">
        <v>10400.77</v>
      </c>
      <c r="F397" t="str">
        <f>TEXT(Account_Data[[#This Row],[Date]],"mmm-yyyy")</f>
        <v>Oct-2025</v>
      </c>
      <c r="G397" t="str">
        <f>IF(Account_Data[[#This Row],[Credit]]&gt;0,"Income","Expense")</f>
        <v>Expense</v>
      </c>
      <c r="H3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397" s="3">
        <f>Account_Data[[#This Row],[Credit]]-Account_Data[[#This Row],[Debit]]</f>
        <v>-8704</v>
      </c>
      <c r="J397" s="7">
        <f>EOMONTH(Account_Data[[#This Row],[Date]],0)</f>
        <v>45961</v>
      </c>
      <c r="K397">
        <f>ABS(Account_Data[[#This Row],[Amount]])</f>
        <v>8704</v>
      </c>
    </row>
    <row r="398" spans="1:11" x14ac:dyDescent="0.35">
      <c r="A398" s="73">
        <v>45932</v>
      </c>
      <c r="B398" t="s">
        <v>90</v>
      </c>
      <c r="C398" s="3">
        <v>1500</v>
      </c>
      <c r="E398" s="3">
        <v>8900.77</v>
      </c>
      <c r="F398" t="str">
        <f>TEXT(Account_Data[[#This Row],[Date]],"mmm-yyyy")</f>
        <v>Oct-2025</v>
      </c>
      <c r="G398" t="str">
        <f>IF(Account_Data[[#This Row],[Credit]]&gt;0,"Income","Expense")</f>
        <v>Expense</v>
      </c>
      <c r="H3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398" s="3">
        <f>Account_Data[[#This Row],[Credit]]-Account_Data[[#This Row],[Debit]]</f>
        <v>-1500</v>
      </c>
      <c r="J398" s="7">
        <f>EOMONTH(Account_Data[[#This Row],[Date]],0)</f>
        <v>45961</v>
      </c>
      <c r="K398">
        <f>ABS(Account_Data[[#This Row],[Amount]])</f>
        <v>1500</v>
      </c>
    </row>
    <row r="399" spans="1:11" x14ac:dyDescent="0.35">
      <c r="A399" s="73">
        <v>45932</v>
      </c>
      <c r="B399" t="s">
        <v>291</v>
      </c>
      <c r="C399" s="3">
        <v>900</v>
      </c>
      <c r="E399" s="3">
        <v>8000.77</v>
      </c>
      <c r="F399" t="str">
        <f>TEXT(Account_Data[[#This Row],[Date]],"mmm-yyyy")</f>
        <v>Oct-2025</v>
      </c>
      <c r="G399" t="str">
        <f>IF(Account_Data[[#This Row],[Credit]]&gt;0,"Income","Expense")</f>
        <v>Expense</v>
      </c>
      <c r="H3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399" s="3">
        <f>Account_Data[[#This Row],[Credit]]-Account_Data[[#This Row],[Debit]]</f>
        <v>-900</v>
      </c>
      <c r="J399" s="7">
        <f>EOMONTH(Account_Data[[#This Row],[Date]],0)</f>
        <v>45961</v>
      </c>
      <c r="K399">
        <f>ABS(Account_Data[[#This Row],[Amount]])</f>
        <v>900</v>
      </c>
    </row>
    <row r="400" spans="1:11" x14ac:dyDescent="0.35">
      <c r="A400" s="73">
        <v>45934</v>
      </c>
      <c r="B400" t="s">
        <v>91</v>
      </c>
      <c r="C400" s="3">
        <v>6280</v>
      </c>
      <c r="E400" s="3">
        <v>1720.77</v>
      </c>
      <c r="F400" t="str">
        <f>TEXT(Account_Data[[#This Row],[Date]],"mmm-yyyy")</f>
        <v>Oct-2025</v>
      </c>
      <c r="G400" t="str">
        <f>IF(Account_Data[[#This Row],[Credit]]&gt;0,"Income","Expense")</f>
        <v>Expense</v>
      </c>
      <c r="H4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00" s="3">
        <f>Account_Data[[#This Row],[Credit]]-Account_Data[[#This Row],[Debit]]</f>
        <v>-6280</v>
      </c>
      <c r="J400" s="7">
        <f>EOMONTH(Account_Data[[#This Row],[Date]],0)</f>
        <v>45961</v>
      </c>
      <c r="K400">
        <f>ABS(Account_Data[[#This Row],[Amount]])</f>
        <v>6280</v>
      </c>
    </row>
    <row r="401" spans="1:11" x14ac:dyDescent="0.35">
      <c r="A401" s="73">
        <v>45935</v>
      </c>
      <c r="B401" t="s">
        <v>146</v>
      </c>
      <c r="C401" s="3">
        <v>50</v>
      </c>
      <c r="E401" s="3">
        <v>1670.77</v>
      </c>
      <c r="F401" t="str">
        <f>TEXT(Account_Data[[#This Row],[Date]],"mmm-yyyy")</f>
        <v>Oct-2025</v>
      </c>
      <c r="G401" t="str">
        <f>IF(Account_Data[[#This Row],[Credit]]&gt;0,"Income","Expense")</f>
        <v>Expense</v>
      </c>
      <c r="H4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1" s="3">
        <f>Account_Data[[#This Row],[Credit]]-Account_Data[[#This Row],[Debit]]</f>
        <v>-50</v>
      </c>
      <c r="J401" s="7">
        <f>EOMONTH(Account_Data[[#This Row],[Date]],0)</f>
        <v>45961</v>
      </c>
      <c r="K401">
        <f>ABS(Account_Data[[#This Row],[Amount]])</f>
        <v>50</v>
      </c>
    </row>
    <row r="402" spans="1:11" x14ac:dyDescent="0.35">
      <c r="A402" s="73">
        <v>45936</v>
      </c>
      <c r="B402" t="s">
        <v>153</v>
      </c>
      <c r="C402" s="3">
        <v>10</v>
      </c>
      <c r="E402" s="3">
        <v>1660.77</v>
      </c>
      <c r="F402" t="str">
        <f>TEXT(Account_Data[[#This Row],[Date]],"mmm-yyyy")</f>
        <v>Oct-2025</v>
      </c>
      <c r="G402" t="str">
        <f>IF(Account_Data[[#This Row],[Credit]]&gt;0,"Income","Expense")</f>
        <v>Expense</v>
      </c>
      <c r="H4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2" s="3">
        <f>Account_Data[[#This Row],[Credit]]-Account_Data[[#This Row],[Debit]]</f>
        <v>-10</v>
      </c>
      <c r="J402" s="7">
        <f>EOMONTH(Account_Data[[#This Row],[Date]],0)</f>
        <v>45961</v>
      </c>
      <c r="K402">
        <f>ABS(Account_Data[[#This Row],[Amount]])</f>
        <v>10</v>
      </c>
    </row>
    <row r="403" spans="1:11" x14ac:dyDescent="0.35">
      <c r="A403" s="73">
        <v>45936</v>
      </c>
      <c r="B403" t="s">
        <v>153</v>
      </c>
      <c r="C403" s="3">
        <v>10</v>
      </c>
      <c r="E403" s="3">
        <v>1650.77</v>
      </c>
      <c r="F403" t="str">
        <f>TEXT(Account_Data[[#This Row],[Date]],"mmm-yyyy")</f>
        <v>Oct-2025</v>
      </c>
      <c r="G403" t="str">
        <f>IF(Account_Data[[#This Row],[Credit]]&gt;0,"Income","Expense")</f>
        <v>Expense</v>
      </c>
      <c r="H4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3" s="3">
        <f>Account_Data[[#This Row],[Credit]]-Account_Data[[#This Row],[Debit]]</f>
        <v>-10</v>
      </c>
      <c r="J403" s="7">
        <f>EOMONTH(Account_Data[[#This Row],[Date]],0)</f>
        <v>45961</v>
      </c>
      <c r="K403">
        <f>ABS(Account_Data[[#This Row],[Amount]])</f>
        <v>10</v>
      </c>
    </row>
    <row r="404" spans="1:11" x14ac:dyDescent="0.35">
      <c r="A404" s="73">
        <v>45937</v>
      </c>
      <c r="B404" t="s">
        <v>153</v>
      </c>
      <c r="C404" s="3">
        <v>10</v>
      </c>
      <c r="E404" s="3">
        <v>1640.77</v>
      </c>
      <c r="F404" t="str">
        <f>TEXT(Account_Data[[#This Row],[Date]],"mmm-yyyy")</f>
        <v>Oct-2025</v>
      </c>
      <c r="G404" t="str">
        <f>IF(Account_Data[[#This Row],[Credit]]&gt;0,"Income","Expense")</f>
        <v>Expense</v>
      </c>
      <c r="H4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4" s="3">
        <f>Account_Data[[#This Row],[Credit]]-Account_Data[[#This Row],[Debit]]</f>
        <v>-10</v>
      </c>
      <c r="J404" s="7">
        <f>EOMONTH(Account_Data[[#This Row],[Date]],0)</f>
        <v>45961</v>
      </c>
      <c r="K404">
        <f>ABS(Account_Data[[#This Row],[Amount]])</f>
        <v>10</v>
      </c>
    </row>
    <row r="405" spans="1:11" x14ac:dyDescent="0.35">
      <c r="A405" s="73">
        <v>45938</v>
      </c>
      <c r="B405" t="s">
        <v>153</v>
      </c>
      <c r="C405" s="3">
        <v>10</v>
      </c>
      <c r="E405" s="3">
        <v>1630.77</v>
      </c>
      <c r="F405" t="str">
        <f>TEXT(Account_Data[[#This Row],[Date]],"mmm-yyyy")</f>
        <v>Oct-2025</v>
      </c>
      <c r="G405" t="str">
        <f>IF(Account_Data[[#This Row],[Credit]]&gt;0,"Income","Expense")</f>
        <v>Expense</v>
      </c>
      <c r="H4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5" s="3">
        <f>Account_Data[[#This Row],[Credit]]-Account_Data[[#This Row],[Debit]]</f>
        <v>-10</v>
      </c>
      <c r="J405" s="7">
        <f>EOMONTH(Account_Data[[#This Row],[Date]],0)</f>
        <v>45961</v>
      </c>
      <c r="K405">
        <f>ABS(Account_Data[[#This Row],[Amount]])</f>
        <v>10</v>
      </c>
    </row>
    <row r="406" spans="1:11" x14ac:dyDescent="0.35">
      <c r="A406" s="73">
        <v>45939</v>
      </c>
      <c r="B406" t="s">
        <v>234</v>
      </c>
      <c r="C406" s="3">
        <v>199</v>
      </c>
      <c r="E406" s="3">
        <v>1431.77</v>
      </c>
      <c r="F406" t="str">
        <f>TEXT(Account_Data[[#This Row],[Date]],"mmm-yyyy")</f>
        <v>Oct-2025</v>
      </c>
      <c r="G406" t="str">
        <f>IF(Account_Data[[#This Row],[Credit]]&gt;0,"Income","Expense")</f>
        <v>Expense</v>
      </c>
      <c r="H4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6" s="3">
        <f>Account_Data[[#This Row],[Credit]]-Account_Data[[#This Row],[Debit]]</f>
        <v>-199</v>
      </c>
      <c r="J406" s="7">
        <f>EOMONTH(Account_Data[[#This Row],[Date]],0)</f>
        <v>45961</v>
      </c>
      <c r="K406">
        <f>ABS(Account_Data[[#This Row],[Amount]])</f>
        <v>199</v>
      </c>
    </row>
    <row r="407" spans="1:11" x14ac:dyDescent="0.35">
      <c r="A407" s="73">
        <v>45939</v>
      </c>
      <c r="B407" t="s">
        <v>153</v>
      </c>
      <c r="C407" s="3">
        <v>10</v>
      </c>
      <c r="E407" s="3">
        <v>1421.77</v>
      </c>
      <c r="F407" t="str">
        <f>TEXT(Account_Data[[#This Row],[Date]],"mmm-yyyy")</f>
        <v>Oct-2025</v>
      </c>
      <c r="G407" t="str">
        <f>IF(Account_Data[[#This Row],[Credit]]&gt;0,"Income","Expense")</f>
        <v>Expense</v>
      </c>
      <c r="H4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7" s="3">
        <f>Account_Data[[#This Row],[Credit]]-Account_Data[[#This Row],[Debit]]</f>
        <v>-10</v>
      </c>
      <c r="J407" s="7">
        <f>EOMONTH(Account_Data[[#This Row],[Date]],0)</f>
        <v>45961</v>
      </c>
      <c r="K407">
        <f>ABS(Account_Data[[#This Row],[Amount]])</f>
        <v>10</v>
      </c>
    </row>
    <row r="408" spans="1:11" x14ac:dyDescent="0.35">
      <c r="A408" s="73">
        <v>45940</v>
      </c>
      <c r="B408" t="s">
        <v>292</v>
      </c>
      <c r="C408" s="3">
        <v>10</v>
      </c>
      <c r="E408" s="3">
        <v>1411.77</v>
      </c>
      <c r="F408" t="str">
        <f>TEXT(Account_Data[[#This Row],[Date]],"mmm-yyyy")</f>
        <v>Oct-2025</v>
      </c>
      <c r="G408" t="str">
        <f>IF(Account_Data[[#This Row],[Credit]]&gt;0,"Income","Expense")</f>
        <v>Expense</v>
      </c>
      <c r="H4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8" s="3">
        <f>Account_Data[[#This Row],[Credit]]-Account_Data[[#This Row],[Debit]]</f>
        <v>-10</v>
      </c>
      <c r="J408" s="7">
        <f>EOMONTH(Account_Data[[#This Row],[Date]],0)</f>
        <v>45961</v>
      </c>
      <c r="K408">
        <f>ABS(Account_Data[[#This Row],[Amount]])</f>
        <v>10</v>
      </c>
    </row>
    <row r="409" spans="1:11" x14ac:dyDescent="0.35">
      <c r="A409" s="73">
        <v>45941</v>
      </c>
      <c r="B409" t="s">
        <v>249</v>
      </c>
      <c r="C409" s="3">
        <v>211</v>
      </c>
      <c r="E409" s="3">
        <v>1200.77</v>
      </c>
      <c r="F409" t="str">
        <f>TEXT(Account_Data[[#This Row],[Date]],"mmm-yyyy")</f>
        <v>Oct-2025</v>
      </c>
      <c r="G409" t="str">
        <f>IF(Account_Data[[#This Row],[Credit]]&gt;0,"Income","Expense")</f>
        <v>Expense</v>
      </c>
      <c r="H4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09" s="3">
        <f>Account_Data[[#This Row],[Credit]]-Account_Data[[#This Row],[Debit]]</f>
        <v>-211</v>
      </c>
      <c r="J409" s="7">
        <f>EOMONTH(Account_Data[[#This Row],[Date]],0)</f>
        <v>45961</v>
      </c>
      <c r="K409">
        <f>ABS(Account_Data[[#This Row],[Amount]])</f>
        <v>211</v>
      </c>
    </row>
    <row r="410" spans="1:11" x14ac:dyDescent="0.35">
      <c r="A410" s="73">
        <v>45941</v>
      </c>
      <c r="B410" t="s">
        <v>249</v>
      </c>
      <c r="C410" s="3">
        <v>722</v>
      </c>
      <c r="E410" s="3">
        <v>478.77</v>
      </c>
      <c r="F410" t="str">
        <f>TEXT(Account_Data[[#This Row],[Date]],"mmm-yyyy")</f>
        <v>Oct-2025</v>
      </c>
      <c r="G410" t="str">
        <f>IF(Account_Data[[#This Row],[Credit]]&gt;0,"Income","Expense")</f>
        <v>Expense</v>
      </c>
      <c r="H4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10" s="3">
        <f>Account_Data[[#This Row],[Credit]]-Account_Data[[#This Row],[Debit]]</f>
        <v>-722</v>
      </c>
      <c r="J410" s="7">
        <f>EOMONTH(Account_Data[[#This Row],[Date]],0)</f>
        <v>45961</v>
      </c>
      <c r="K410">
        <f>ABS(Account_Data[[#This Row],[Amount]])</f>
        <v>722</v>
      </c>
    </row>
    <row r="411" spans="1:11" x14ac:dyDescent="0.35">
      <c r="A411" s="73">
        <v>45941</v>
      </c>
      <c r="B411" t="s">
        <v>153</v>
      </c>
      <c r="C411" s="3">
        <v>10</v>
      </c>
      <c r="E411" s="3">
        <v>468.77</v>
      </c>
      <c r="F411" t="str">
        <f>TEXT(Account_Data[[#This Row],[Date]],"mmm-yyyy")</f>
        <v>Oct-2025</v>
      </c>
      <c r="G411" t="str">
        <f>IF(Account_Data[[#This Row],[Credit]]&gt;0,"Income","Expense")</f>
        <v>Expense</v>
      </c>
      <c r="H4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11" s="3">
        <f>Account_Data[[#This Row],[Credit]]-Account_Data[[#This Row],[Debit]]</f>
        <v>-10</v>
      </c>
      <c r="J411" s="7">
        <f>EOMONTH(Account_Data[[#This Row],[Date]],0)</f>
        <v>45961</v>
      </c>
      <c r="K411">
        <f>ABS(Account_Data[[#This Row],[Amount]])</f>
        <v>10</v>
      </c>
    </row>
    <row r="412" spans="1:11" x14ac:dyDescent="0.35">
      <c r="A412" s="73">
        <v>45942</v>
      </c>
      <c r="B412" t="s">
        <v>198</v>
      </c>
      <c r="C412" s="3">
        <v>424</v>
      </c>
      <c r="E412" s="3">
        <v>44.77</v>
      </c>
      <c r="F412" t="str">
        <f>TEXT(Account_Data[[#This Row],[Date]],"mmm-yyyy")</f>
        <v>Oct-2025</v>
      </c>
      <c r="G412" t="str">
        <f>IF(Account_Data[[#This Row],[Credit]]&gt;0,"Income","Expense")</f>
        <v>Expense</v>
      </c>
      <c r="H4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12" s="3">
        <f>Account_Data[[#This Row],[Credit]]-Account_Data[[#This Row],[Debit]]</f>
        <v>-424</v>
      </c>
      <c r="J412" s="7">
        <f>EOMONTH(Account_Data[[#This Row],[Date]],0)</f>
        <v>45961</v>
      </c>
      <c r="K412">
        <f>ABS(Account_Data[[#This Row],[Amount]])</f>
        <v>424</v>
      </c>
    </row>
    <row r="413" spans="1:11" x14ac:dyDescent="0.35">
      <c r="A413" s="73">
        <v>45944</v>
      </c>
      <c r="B413" t="s">
        <v>123</v>
      </c>
      <c r="D413" s="3">
        <v>59.52</v>
      </c>
      <c r="E413" s="3">
        <v>104.29</v>
      </c>
      <c r="F413" t="str">
        <f>TEXT(Account_Data[[#This Row],[Date]],"mmm-yyyy")</f>
        <v>Oct-2025</v>
      </c>
      <c r="G413" t="str">
        <f>IF(Account_Data[[#This Row],[Credit]]&gt;0,"Income","Expense")</f>
        <v>Income</v>
      </c>
      <c r="H4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13" s="3">
        <f>Account_Data[[#This Row],[Credit]]-Account_Data[[#This Row],[Debit]]</f>
        <v>59.52</v>
      </c>
      <c r="J413" s="7">
        <f>EOMONTH(Account_Data[[#This Row],[Date]],0)</f>
        <v>45961</v>
      </c>
      <c r="K413">
        <f>ABS(Account_Data[[#This Row],[Amount]])</f>
        <v>59.52</v>
      </c>
    </row>
    <row r="414" spans="1:11" x14ac:dyDescent="0.35">
      <c r="A414" s="73">
        <v>45951</v>
      </c>
      <c r="B414" t="s">
        <v>118</v>
      </c>
      <c r="D414" s="3">
        <v>7000</v>
      </c>
      <c r="E414" s="3">
        <v>7104.29</v>
      </c>
      <c r="F414" t="str">
        <f>TEXT(Account_Data[[#This Row],[Date]],"mmm-yyyy")</f>
        <v>Oct-2025</v>
      </c>
      <c r="G414" t="str">
        <f>IF(Account_Data[[#This Row],[Credit]]&gt;0,"Income","Expense")</f>
        <v>Income</v>
      </c>
      <c r="H4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14" s="3">
        <f>Account_Data[[#This Row],[Credit]]-Account_Data[[#This Row],[Debit]]</f>
        <v>7000</v>
      </c>
      <c r="J414" s="7">
        <f>EOMONTH(Account_Data[[#This Row],[Date]],0)</f>
        <v>45961</v>
      </c>
      <c r="K414">
        <f>ABS(Account_Data[[#This Row],[Amount]])</f>
        <v>7000</v>
      </c>
    </row>
    <row r="415" spans="1:11" x14ac:dyDescent="0.35">
      <c r="A415" s="73">
        <v>45954</v>
      </c>
      <c r="B415" t="s">
        <v>494</v>
      </c>
      <c r="D415" s="3">
        <v>125379</v>
      </c>
      <c r="E415" s="3">
        <v>132483.29</v>
      </c>
      <c r="F415" t="str">
        <f>TEXT(Account_Data[[#This Row],[Date]],"mmm-yyyy")</f>
        <v>Oct-2025</v>
      </c>
      <c r="G415" t="str">
        <f>IF(Account_Data[[#This Row],[Credit]]&gt;0,"Income","Expense")</f>
        <v>Income</v>
      </c>
      <c r="H4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415" s="3">
        <f>Account_Data[[#This Row],[Credit]]-Account_Data[[#This Row],[Debit]]</f>
        <v>125379</v>
      </c>
      <c r="J415" s="7">
        <f>EOMONTH(Account_Data[[#This Row],[Date]],0)</f>
        <v>45961</v>
      </c>
      <c r="K415">
        <f>ABS(Account_Data[[#This Row],[Amount]])</f>
        <v>125379</v>
      </c>
    </row>
    <row r="416" spans="1:11" x14ac:dyDescent="0.35">
      <c r="A416" s="73">
        <v>45958</v>
      </c>
      <c r="B416" t="s">
        <v>99</v>
      </c>
      <c r="C416" s="3">
        <v>1000</v>
      </c>
      <c r="E416" s="3">
        <v>131483.29</v>
      </c>
      <c r="F416" t="str">
        <f>TEXT(Account_Data[[#This Row],[Date]],"mmm-yyyy")</f>
        <v>Oct-2025</v>
      </c>
      <c r="G416" t="str">
        <f>IF(Account_Data[[#This Row],[Credit]]&gt;0,"Income","Expense")</f>
        <v>Expense</v>
      </c>
      <c r="H4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16" s="3">
        <f>Account_Data[[#This Row],[Credit]]-Account_Data[[#This Row],[Debit]]</f>
        <v>-1000</v>
      </c>
      <c r="J416" s="7">
        <f>EOMONTH(Account_Data[[#This Row],[Date]],0)</f>
        <v>45961</v>
      </c>
      <c r="K416">
        <f>ABS(Account_Data[[#This Row],[Amount]])</f>
        <v>1000</v>
      </c>
    </row>
    <row r="417" spans="1:11" x14ac:dyDescent="0.35">
      <c r="A417" s="73">
        <v>45962</v>
      </c>
      <c r="B417" t="s">
        <v>90</v>
      </c>
      <c r="C417" s="3">
        <v>1000</v>
      </c>
      <c r="E417" s="3">
        <v>130483.29</v>
      </c>
      <c r="F417" t="str">
        <f>TEXT(Account_Data[[#This Row],[Date]],"mmm-yyyy")</f>
        <v>Nov-2025</v>
      </c>
      <c r="G417" t="str">
        <f>IF(Account_Data[[#This Row],[Credit]]&gt;0,"Income","Expense")</f>
        <v>Expense</v>
      </c>
      <c r="H4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417" s="3">
        <f>Account_Data[[#This Row],[Credit]]-Account_Data[[#This Row],[Debit]]</f>
        <v>-1000</v>
      </c>
      <c r="J417" s="7">
        <f>EOMONTH(Account_Data[[#This Row],[Date]],0)</f>
        <v>45991</v>
      </c>
      <c r="K417">
        <f>ABS(Account_Data[[#This Row],[Amount]])</f>
        <v>1000</v>
      </c>
    </row>
    <row r="418" spans="1:11" x14ac:dyDescent="0.35">
      <c r="A418" s="73">
        <v>45962</v>
      </c>
      <c r="B418" t="s">
        <v>110</v>
      </c>
      <c r="C418" s="3">
        <v>16159</v>
      </c>
      <c r="E418" s="3">
        <v>114324.29</v>
      </c>
      <c r="F418" t="str">
        <f>TEXT(Account_Data[[#This Row],[Date]],"mmm-yyyy")</f>
        <v>Nov-2025</v>
      </c>
      <c r="G418" t="str">
        <f>IF(Account_Data[[#This Row],[Credit]]&gt;0,"Income","Expense")</f>
        <v>Expense</v>
      </c>
      <c r="H4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18" s="3">
        <f>Account_Data[[#This Row],[Credit]]-Account_Data[[#This Row],[Debit]]</f>
        <v>-16159</v>
      </c>
      <c r="J418" s="7">
        <f>EOMONTH(Account_Data[[#This Row],[Date]],0)</f>
        <v>45991</v>
      </c>
      <c r="K418">
        <f>ABS(Account_Data[[#This Row],[Amount]])</f>
        <v>16159</v>
      </c>
    </row>
    <row r="419" spans="1:11" x14ac:dyDescent="0.35">
      <c r="A419" s="73">
        <v>45963</v>
      </c>
      <c r="B419" t="s">
        <v>91</v>
      </c>
      <c r="C419" s="3">
        <v>7717</v>
      </c>
      <c r="E419" s="3">
        <v>106607.29</v>
      </c>
      <c r="F419" t="str">
        <f>TEXT(Account_Data[[#This Row],[Date]],"mmm-yyyy")</f>
        <v>Nov-2025</v>
      </c>
      <c r="G419" t="str">
        <f>IF(Account_Data[[#This Row],[Credit]]&gt;0,"Income","Expense")</f>
        <v>Expense</v>
      </c>
      <c r="H4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19" s="3">
        <f>Account_Data[[#This Row],[Credit]]-Account_Data[[#This Row],[Debit]]</f>
        <v>-7717</v>
      </c>
      <c r="J419" s="7">
        <f>EOMONTH(Account_Data[[#This Row],[Date]],0)</f>
        <v>45991</v>
      </c>
      <c r="K419">
        <f>ABS(Account_Data[[#This Row],[Amount]])</f>
        <v>7717</v>
      </c>
    </row>
    <row r="420" spans="1:11" x14ac:dyDescent="0.35">
      <c r="A420" s="73">
        <v>45963</v>
      </c>
      <c r="B420" t="s">
        <v>91</v>
      </c>
      <c r="C420" s="3">
        <v>8704</v>
      </c>
      <c r="E420" s="3">
        <v>97903.29</v>
      </c>
      <c r="F420" t="str">
        <f>TEXT(Account_Data[[#This Row],[Date]],"mmm-yyyy")</f>
        <v>Nov-2025</v>
      </c>
      <c r="G420" t="str">
        <f>IF(Account_Data[[#This Row],[Credit]]&gt;0,"Income","Expense")</f>
        <v>Expense</v>
      </c>
      <c r="H4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0" s="3">
        <f>Account_Data[[#This Row],[Credit]]-Account_Data[[#This Row],[Debit]]</f>
        <v>-8704</v>
      </c>
      <c r="J420" s="7">
        <f>EOMONTH(Account_Data[[#This Row],[Date]],0)</f>
        <v>45991</v>
      </c>
      <c r="K420">
        <f>ABS(Account_Data[[#This Row],[Amount]])</f>
        <v>8704</v>
      </c>
    </row>
    <row r="421" spans="1:11" x14ac:dyDescent="0.35">
      <c r="A421" s="73">
        <v>45963</v>
      </c>
      <c r="B421" t="s">
        <v>90</v>
      </c>
      <c r="C421" s="3">
        <v>1500</v>
      </c>
      <c r="E421" s="3">
        <v>96403.29</v>
      </c>
      <c r="F421" t="str">
        <f>TEXT(Account_Data[[#This Row],[Date]],"mmm-yyyy")</f>
        <v>Nov-2025</v>
      </c>
      <c r="G421" t="str">
        <f>IF(Account_Data[[#This Row],[Credit]]&gt;0,"Income","Expense")</f>
        <v>Expense</v>
      </c>
      <c r="H4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421" s="3">
        <f>Account_Data[[#This Row],[Credit]]-Account_Data[[#This Row],[Debit]]</f>
        <v>-1500</v>
      </c>
      <c r="J421" s="7">
        <f>EOMONTH(Account_Data[[#This Row],[Date]],0)</f>
        <v>45991</v>
      </c>
      <c r="K421">
        <f>ABS(Account_Data[[#This Row],[Amount]])</f>
        <v>1500</v>
      </c>
    </row>
    <row r="422" spans="1:11" x14ac:dyDescent="0.35">
      <c r="A422" s="73">
        <v>45964</v>
      </c>
      <c r="B422" t="s">
        <v>89</v>
      </c>
      <c r="C422" s="3">
        <v>10000</v>
      </c>
      <c r="E422" s="3">
        <v>86403.29</v>
      </c>
      <c r="F422" t="str">
        <f>TEXT(Account_Data[[#This Row],[Date]],"mmm-yyyy")</f>
        <v>Nov-2025</v>
      </c>
      <c r="G422" t="str">
        <f>IF(Account_Data[[#This Row],[Credit]]&gt;0,"Income","Expense")</f>
        <v>Expense</v>
      </c>
      <c r="H4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2" s="3">
        <f>Account_Data[[#This Row],[Credit]]-Account_Data[[#This Row],[Debit]]</f>
        <v>-10000</v>
      </c>
      <c r="J422" s="7">
        <f>EOMONTH(Account_Data[[#This Row],[Date]],0)</f>
        <v>45991</v>
      </c>
      <c r="K422">
        <f>ABS(Account_Data[[#This Row],[Amount]])</f>
        <v>10000</v>
      </c>
    </row>
    <row r="423" spans="1:11" x14ac:dyDescent="0.35">
      <c r="A423" s="73">
        <v>45964</v>
      </c>
      <c r="B423" t="s">
        <v>89</v>
      </c>
      <c r="C423" s="3">
        <v>2000</v>
      </c>
      <c r="E423" s="3">
        <v>84403.29</v>
      </c>
      <c r="F423" t="str">
        <f>TEXT(Account_Data[[#This Row],[Date]],"mmm-yyyy")</f>
        <v>Nov-2025</v>
      </c>
      <c r="G423" t="str">
        <f>IF(Account_Data[[#This Row],[Credit]]&gt;0,"Income","Expense")</f>
        <v>Expense</v>
      </c>
      <c r="H4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3" s="3">
        <f>Account_Data[[#This Row],[Credit]]-Account_Data[[#This Row],[Debit]]</f>
        <v>-2000</v>
      </c>
      <c r="J423" s="7">
        <f>EOMONTH(Account_Data[[#This Row],[Date]],0)</f>
        <v>45991</v>
      </c>
      <c r="K423">
        <f>ABS(Account_Data[[#This Row],[Amount]])</f>
        <v>2000</v>
      </c>
    </row>
    <row r="424" spans="1:11" x14ac:dyDescent="0.35">
      <c r="A424" s="73">
        <v>45964</v>
      </c>
      <c r="B424" t="s">
        <v>89</v>
      </c>
      <c r="C424" s="3">
        <v>5000</v>
      </c>
      <c r="E424" s="3">
        <v>79403.289999999994</v>
      </c>
      <c r="F424" t="str">
        <f>TEXT(Account_Data[[#This Row],[Date]],"mmm-yyyy")</f>
        <v>Nov-2025</v>
      </c>
      <c r="G424" t="str">
        <f>IF(Account_Data[[#This Row],[Credit]]&gt;0,"Income","Expense")</f>
        <v>Expense</v>
      </c>
      <c r="H4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4" s="3">
        <f>Account_Data[[#This Row],[Credit]]-Account_Data[[#This Row],[Debit]]</f>
        <v>-5000</v>
      </c>
      <c r="J424" s="7">
        <f>EOMONTH(Account_Data[[#This Row],[Date]],0)</f>
        <v>45991</v>
      </c>
      <c r="K424">
        <f>ABS(Account_Data[[#This Row],[Amount]])</f>
        <v>5000</v>
      </c>
    </row>
    <row r="425" spans="1:11" x14ac:dyDescent="0.35">
      <c r="A425" s="73">
        <v>45964</v>
      </c>
      <c r="B425" t="s">
        <v>89</v>
      </c>
      <c r="C425" s="3">
        <v>2000</v>
      </c>
      <c r="E425" s="3">
        <v>77403.289999999994</v>
      </c>
      <c r="F425" t="str">
        <f>TEXT(Account_Data[[#This Row],[Date]],"mmm-yyyy")</f>
        <v>Nov-2025</v>
      </c>
      <c r="G425" t="str">
        <f>IF(Account_Data[[#This Row],[Credit]]&gt;0,"Income","Expense")</f>
        <v>Expense</v>
      </c>
      <c r="H4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5" s="3">
        <f>Account_Data[[#This Row],[Credit]]-Account_Data[[#This Row],[Debit]]</f>
        <v>-2000</v>
      </c>
      <c r="J425" s="7">
        <f>EOMONTH(Account_Data[[#This Row],[Date]],0)</f>
        <v>45991</v>
      </c>
      <c r="K425">
        <f>ABS(Account_Data[[#This Row],[Amount]])</f>
        <v>2000</v>
      </c>
    </row>
    <row r="426" spans="1:11" x14ac:dyDescent="0.35">
      <c r="A426" s="73">
        <v>45964</v>
      </c>
      <c r="B426" t="s">
        <v>89</v>
      </c>
      <c r="C426" s="3">
        <v>3000</v>
      </c>
      <c r="E426" s="3">
        <v>74403.289999999994</v>
      </c>
      <c r="F426" t="str">
        <f>TEXT(Account_Data[[#This Row],[Date]],"mmm-yyyy")</f>
        <v>Nov-2025</v>
      </c>
      <c r="G426" t="str">
        <f>IF(Account_Data[[#This Row],[Credit]]&gt;0,"Income","Expense")</f>
        <v>Expense</v>
      </c>
      <c r="H4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6" s="3">
        <f>Account_Data[[#This Row],[Credit]]-Account_Data[[#This Row],[Debit]]</f>
        <v>-3000</v>
      </c>
      <c r="J426" s="7">
        <f>EOMONTH(Account_Data[[#This Row],[Date]],0)</f>
        <v>45991</v>
      </c>
      <c r="K426">
        <f>ABS(Account_Data[[#This Row],[Amount]])</f>
        <v>3000</v>
      </c>
    </row>
    <row r="427" spans="1:11" x14ac:dyDescent="0.35">
      <c r="A427" s="73">
        <v>45964</v>
      </c>
      <c r="B427" t="s">
        <v>89</v>
      </c>
      <c r="C427" s="3">
        <v>2000</v>
      </c>
      <c r="E427" s="3">
        <v>72403.289999999994</v>
      </c>
      <c r="F427" t="str">
        <f>TEXT(Account_Data[[#This Row],[Date]],"mmm-yyyy")</f>
        <v>Nov-2025</v>
      </c>
      <c r="G427" t="str">
        <f>IF(Account_Data[[#This Row],[Credit]]&gt;0,"Income","Expense")</f>
        <v>Expense</v>
      </c>
      <c r="H4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7" s="3">
        <f>Account_Data[[#This Row],[Credit]]-Account_Data[[#This Row],[Debit]]</f>
        <v>-2000</v>
      </c>
      <c r="J427" s="7">
        <f>EOMONTH(Account_Data[[#This Row],[Date]],0)</f>
        <v>45991</v>
      </c>
      <c r="K427">
        <f>ABS(Account_Data[[#This Row],[Amount]])</f>
        <v>2000</v>
      </c>
    </row>
    <row r="428" spans="1:11" x14ac:dyDescent="0.35">
      <c r="A428" s="73">
        <v>45965</v>
      </c>
      <c r="B428" t="s">
        <v>91</v>
      </c>
      <c r="C428" s="3">
        <v>6280</v>
      </c>
      <c r="E428" s="3">
        <v>66123.289999999994</v>
      </c>
      <c r="F428" t="str">
        <f>TEXT(Account_Data[[#This Row],[Date]],"mmm-yyyy")</f>
        <v>Nov-2025</v>
      </c>
      <c r="G428" t="str">
        <f>IF(Account_Data[[#This Row],[Credit]]&gt;0,"Income","Expense")</f>
        <v>Expense</v>
      </c>
      <c r="H4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28" s="3">
        <f>Account_Data[[#This Row],[Credit]]-Account_Data[[#This Row],[Debit]]</f>
        <v>-6280</v>
      </c>
      <c r="J428" s="7">
        <f>EOMONTH(Account_Data[[#This Row],[Date]],0)</f>
        <v>45991</v>
      </c>
      <c r="K428">
        <f>ABS(Account_Data[[#This Row],[Amount]])</f>
        <v>6280</v>
      </c>
    </row>
    <row r="429" spans="1:11" x14ac:dyDescent="0.35">
      <c r="A429" s="73">
        <v>45966</v>
      </c>
      <c r="B429" t="s">
        <v>145</v>
      </c>
      <c r="C429" s="3">
        <v>15000</v>
      </c>
      <c r="E429" s="3">
        <v>51123.29</v>
      </c>
      <c r="F429" t="str">
        <f>TEXT(Account_Data[[#This Row],[Date]],"mmm-yyyy")</f>
        <v>Nov-2025</v>
      </c>
      <c r="G429" t="str">
        <f>IF(Account_Data[[#This Row],[Credit]]&gt;0,"Income","Expense")</f>
        <v>Expense</v>
      </c>
      <c r="H4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29" s="3">
        <f>Account_Data[[#This Row],[Credit]]-Account_Data[[#This Row],[Debit]]</f>
        <v>-15000</v>
      </c>
      <c r="J429" s="7">
        <f>EOMONTH(Account_Data[[#This Row],[Date]],0)</f>
        <v>45991</v>
      </c>
      <c r="K429">
        <f>ABS(Account_Data[[#This Row],[Amount]])</f>
        <v>15000</v>
      </c>
    </row>
    <row r="430" spans="1:11" x14ac:dyDescent="0.35">
      <c r="A430" s="73">
        <v>45966</v>
      </c>
      <c r="B430" t="s">
        <v>146</v>
      </c>
      <c r="C430" s="3">
        <v>50</v>
      </c>
      <c r="E430" s="3">
        <v>51073.29</v>
      </c>
      <c r="F430" t="str">
        <f>TEXT(Account_Data[[#This Row],[Date]],"mmm-yyyy")</f>
        <v>Nov-2025</v>
      </c>
      <c r="G430" t="str">
        <f>IF(Account_Data[[#This Row],[Credit]]&gt;0,"Income","Expense")</f>
        <v>Expense</v>
      </c>
      <c r="H4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0" s="3">
        <f>Account_Data[[#This Row],[Credit]]-Account_Data[[#This Row],[Debit]]</f>
        <v>-50</v>
      </c>
      <c r="J430" s="7">
        <f>EOMONTH(Account_Data[[#This Row],[Date]],0)</f>
        <v>45991</v>
      </c>
      <c r="K430">
        <f>ABS(Account_Data[[#This Row],[Amount]])</f>
        <v>50</v>
      </c>
    </row>
    <row r="431" spans="1:11" x14ac:dyDescent="0.35">
      <c r="A431" s="73">
        <v>45966</v>
      </c>
      <c r="B431" t="s">
        <v>293</v>
      </c>
      <c r="C431" s="3">
        <v>13809</v>
      </c>
      <c r="E431" s="3">
        <v>37264.29</v>
      </c>
      <c r="F431" t="str">
        <f>TEXT(Account_Data[[#This Row],[Date]],"mmm-yyyy")</f>
        <v>Nov-2025</v>
      </c>
      <c r="G431" t="str">
        <f>IF(Account_Data[[#This Row],[Credit]]&gt;0,"Income","Expense")</f>
        <v>Expense</v>
      </c>
      <c r="H4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1" s="3">
        <f>Account_Data[[#This Row],[Credit]]-Account_Data[[#This Row],[Debit]]</f>
        <v>-13809</v>
      </c>
      <c r="J431" s="7">
        <f>EOMONTH(Account_Data[[#This Row],[Date]],0)</f>
        <v>45991</v>
      </c>
      <c r="K431">
        <f>ABS(Account_Data[[#This Row],[Amount]])</f>
        <v>13809</v>
      </c>
    </row>
    <row r="432" spans="1:11" x14ac:dyDescent="0.35">
      <c r="A432" s="73">
        <v>45966</v>
      </c>
      <c r="B432" t="s">
        <v>294</v>
      </c>
      <c r="C432" s="3">
        <v>1567</v>
      </c>
      <c r="E432" s="3">
        <v>35697.29</v>
      </c>
      <c r="F432" t="str">
        <f>TEXT(Account_Data[[#This Row],[Date]],"mmm-yyyy")</f>
        <v>Nov-2025</v>
      </c>
      <c r="G432" t="str">
        <f>IF(Account_Data[[#This Row],[Credit]]&gt;0,"Income","Expense")</f>
        <v>Expense</v>
      </c>
      <c r="H4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2" s="3">
        <f>Account_Data[[#This Row],[Credit]]-Account_Data[[#This Row],[Debit]]</f>
        <v>-1567</v>
      </c>
      <c r="J432" s="7">
        <f>EOMONTH(Account_Data[[#This Row],[Date]],0)</f>
        <v>45991</v>
      </c>
      <c r="K432">
        <f>ABS(Account_Data[[#This Row],[Amount]])</f>
        <v>1567</v>
      </c>
    </row>
    <row r="433" spans="1:11" x14ac:dyDescent="0.35">
      <c r="A433" s="73">
        <v>45966</v>
      </c>
      <c r="B433" t="s">
        <v>124</v>
      </c>
      <c r="D433" s="3">
        <v>4297</v>
      </c>
      <c r="E433" s="3">
        <v>39994.29</v>
      </c>
      <c r="F433" t="str">
        <f>TEXT(Account_Data[[#This Row],[Date]],"mmm-yyyy")</f>
        <v>Nov-2025</v>
      </c>
      <c r="G433" t="str">
        <f>IF(Account_Data[[#This Row],[Credit]]&gt;0,"Income","Expense")</f>
        <v>Income</v>
      </c>
      <c r="H4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3" s="3">
        <f>Account_Data[[#This Row],[Credit]]-Account_Data[[#This Row],[Debit]]</f>
        <v>4297</v>
      </c>
      <c r="J433" s="7">
        <f>EOMONTH(Account_Data[[#This Row],[Date]],0)</f>
        <v>45991</v>
      </c>
      <c r="K433">
        <f>ABS(Account_Data[[#This Row],[Amount]])</f>
        <v>4297</v>
      </c>
    </row>
    <row r="434" spans="1:11" x14ac:dyDescent="0.35">
      <c r="A434" s="73">
        <v>45967</v>
      </c>
      <c r="B434" t="s">
        <v>295</v>
      </c>
      <c r="C434" s="3">
        <v>1850</v>
      </c>
      <c r="E434" s="3">
        <v>38144.29</v>
      </c>
      <c r="F434" t="str">
        <f>TEXT(Account_Data[[#This Row],[Date]],"mmm-yyyy")</f>
        <v>Nov-2025</v>
      </c>
      <c r="G434" t="str">
        <f>IF(Account_Data[[#This Row],[Credit]]&gt;0,"Income","Expense")</f>
        <v>Expense</v>
      </c>
      <c r="H4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4" s="3">
        <f>Account_Data[[#This Row],[Credit]]-Account_Data[[#This Row],[Debit]]</f>
        <v>-1850</v>
      </c>
      <c r="J434" s="7">
        <f>EOMONTH(Account_Data[[#This Row],[Date]],0)</f>
        <v>45991</v>
      </c>
      <c r="K434">
        <f>ABS(Account_Data[[#This Row],[Amount]])</f>
        <v>1850</v>
      </c>
    </row>
    <row r="435" spans="1:11" x14ac:dyDescent="0.35">
      <c r="A435" s="73">
        <v>45968</v>
      </c>
      <c r="B435" t="s">
        <v>287</v>
      </c>
      <c r="C435" s="3">
        <v>1645.1</v>
      </c>
      <c r="E435" s="3">
        <v>36499.19</v>
      </c>
      <c r="F435" t="str">
        <f>TEXT(Account_Data[[#This Row],[Date]],"mmm-yyyy")</f>
        <v>Nov-2025</v>
      </c>
      <c r="G435" t="str">
        <f>IF(Account_Data[[#This Row],[Credit]]&gt;0,"Income","Expense")</f>
        <v>Expense</v>
      </c>
      <c r="H4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5" s="3">
        <f>Account_Data[[#This Row],[Credit]]-Account_Data[[#This Row],[Debit]]</f>
        <v>-1645.1</v>
      </c>
      <c r="J435" s="7">
        <f>EOMONTH(Account_Data[[#This Row],[Date]],0)</f>
        <v>45991</v>
      </c>
      <c r="K435">
        <f>ABS(Account_Data[[#This Row],[Amount]])</f>
        <v>1645.1</v>
      </c>
    </row>
    <row r="436" spans="1:11" x14ac:dyDescent="0.35">
      <c r="A436" s="73">
        <v>45969</v>
      </c>
      <c r="B436" t="s">
        <v>296</v>
      </c>
      <c r="C436" s="3">
        <v>850</v>
      </c>
      <c r="E436" s="3">
        <v>35649.19</v>
      </c>
      <c r="F436" t="str">
        <f>TEXT(Account_Data[[#This Row],[Date]],"mmm-yyyy")</f>
        <v>Nov-2025</v>
      </c>
      <c r="G436" t="str">
        <f>IF(Account_Data[[#This Row],[Credit]]&gt;0,"Income","Expense")</f>
        <v>Expense</v>
      </c>
      <c r="H4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6" s="3">
        <f>Account_Data[[#This Row],[Credit]]-Account_Data[[#This Row],[Debit]]</f>
        <v>-850</v>
      </c>
      <c r="J436" s="7">
        <f>EOMONTH(Account_Data[[#This Row],[Date]],0)</f>
        <v>45991</v>
      </c>
      <c r="K436">
        <f>ABS(Account_Data[[#This Row],[Amount]])</f>
        <v>850</v>
      </c>
    </row>
    <row r="437" spans="1:11" x14ac:dyDescent="0.35">
      <c r="A437" s="73">
        <v>45970</v>
      </c>
      <c r="B437" t="s">
        <v>234</v>
      </c>
      <c r="C437" s="3">
        <v>199</v>
      </c>
      <c r="E437" s="3">
        <v>35450.19</v>
      </c>
      <c r="F437" t="str">
        <f>TEXT(Account_Data[[#This Row],[Date]],"mmm-yyyy")</f>
        <v>Nov-2025</v>
      </c>
      <c r="G437" t="str">
        <f>IF(Account_Data[[#This Row],[Credit]]&gt;0,"Income","Expense")</f>
        <v>Expense</v>
      </c>
      <c r="H4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7" s="3">
        <f>Account_Data[[#This Row],[Credit]]-Account_Data[[#This Row],[Debit]]</f>
        <v>-199</v>
      </c>
      <c r="J437" s="7">
        <f>EOMONTH(Account_Data[[#This Row],[Date]],0)</f>
        <v>45991</v>
      </c>
      <c r="K437">
        <f>ABS(Account_Data[[#This Row],[Amount]])</f>
        <v>199</v>
      </c>
    </row>
    <row r="438" spans="1:11" x14ac:dyDescent="0.35">
      <c r="A438" s="73">
        <v>45970</v>
      </c>
      <c r="B438" t="s">
        <v>177</v>
      </c>
      <c r="C438" s="3">
        <v>4000</v>
      </c>
      <c r="E438" s="3">
        <v>31450.19</v>
      </c>
      <c r="F438" t="str">
        <f>TEXT(Account_Data[[#This Row],[Date]],"mmm-yyyy")</f>
        <v>Nov-2025</v>
      </c>
      <c r="G438" t="str">
        <f>IF(Account_Data[[#This Row],[Credit]]&gt;0,"Income","Expense")</f>
        <v>Expense</v>
      </c>
      <c r="H4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38" s="3">
        <f>Account_Data[[#This Row],[Credit]]-Account_Data[[#This Row],[Debit]]</f>
        <v>-4000</v>
      </c>
      <c r="J438" s="7">
        <f>EOMONTH(Account_Data[[#This Row],[Date]],0)</f>
        <v>45991</v>
      </c>
      <c r="K438">
        <f>ABS(Account_Data[[#This Row],[Amount]])</f>
        <v>4000</v>
      </c>
    </row>
    <row r="439" spans="1:11" x14ac:dyDescent="0.35">
      <c r="A439" s="73">
        <v>45972</v>
      </c>
      <c r="B439" t="s">
        <v>125</v>
      </c>
      <c r="D439" s="3">
        <v>59.52</v>
      </c>
      <c r="E439" s="3">
        <v>31509.71</v>
      </c>
      <c r="F439" t="str">
        <f>TEXT(Account_Data[[#This Row],[Date]],"mmm-yyyy")</f>
        <v>Nov-2025</v>
      </c>
      <c r="G439" t="str">
        <f>IF(Account_Data[[#This Row],[Credit]]&gt;0,"Income","Expense")</f>
        <v>Income</v>
      </c>
      <c r="H4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39" s="3">
        <f>Account_Data[[#This Row],[Credit]]-Account_Data[[#This Row],[Debit]]</f>
        <v>59.52</v>
      </c>
      <c r="J439" s="7">
        <f>EOMONTH(Account_Data[[#This Row],[Date]],0)</f>
        <v>45991</v>
      </c>
      <c r="K439">
        <f>ABS(Account_Data[[#This Row],[Amount]])</f>
        <v>59.52</v>
      </c>
    </row>
    <row r="440" spans="1:11" x14ac:dyDescent="0.35">
      <c r="A440" s="73">
        <v>45973</v>
      </c>
      <c r="B440" t="s">
        <v>198</v>
      </c>
      <c r="C440" s="3">
        <v>424</v>
      </c>
      <c r="E440" s="3">
        <v>31085.71</v>
      </c>
      <c r="F440" t="str">
        <f>TEXT(Account_Data[[#This Row],[Date]],"mmm-yyyy")</f>
        <v>Nov-2025</v>
      </c>
      <c r="G440" t="str">
        <f>IF(Account_Data[[#This Row],[Credit]]&gt;0,"Income","Expense")</f>
        <v>Expense</v>
      </c>
      <c r="H4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0" s="3">
        <f>Account_Data[[#This Row],[Credit]]-Account_Data[[#This Row],[Debit]]</f>
        <v>-424</v>
      </c>
      <c r="J440" s="7">
        <f>EOMONTH(Account_Data[[#This Row],[Date]],0)</f>
        <v>45991</v>
      </c>
      <c r="K440">
        <f>ABS(Account_Data[[#This Row],[Amount]])</f>
        <v>424</v>
      </c>
    </row>
    <row r="441" spans="1:11" x14ac:dyDescent="0.35">
      <c r="A441" s="73">
        <v>45975</v>
      </c>
      <c r="B441" t="s">
        <v>176</v>
      </c>
      <c r="C441" s="3">
        <v>755</v>
      </c>
      <c r="E441" s="3">
        <v>30330.71</v>
      </c>
      <c r="F441" t="str">
        <f>TEXT(Account_Data[[#This Row],[Date]],"mmm-yyyy")</f>
        <v>Nov-2025</v>
      </c>
      <c r="G441" t="str">
        <f>IF(Account_Data[[#This Row],[Credit]]&gt;0,"Income","Expense")</f>
        <v>Expense</v>
      </c>
      <c r="H4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1" s="3">
        <f>Account_Data[[#This Row],[Credit]]-Account_Data[[#This Row],[Debit]]</f>
        <v>-755</v>
      </c>
      <c r="J441" s="7">
        <f>EOMONTH(Account_Data[[#This Row],[Date]],0)</f>
        <v>45991</v>
      </c>
      <c r="K441">
        <f>ABS(Account_Data[[#This Row],[Amount]])</f>
        <v>755</v>
      </c>
    </row>
    <row r="442" spans="1:11" x14ac:dyDescent="0.35">
      <c r="A442" s="73">
        <v>45976</v>
      </c>
      <c r="B442" t="s">
        <v>297</v>
      </c>
      <c r="C442" s="3">
        <v>249</v>
      </c>
      <c r="E442" s="3">
        <v>30081.71</v>
      </c>
      <c r="F442" t="str">
        <f>TEXT(Account_Data[[#This Row],[Date]],"mmm-yyyy")</f>
        <v>Nov-2025</v>
      </c>
      <c r="G442" t="str">
        <f>IF(Account_Data[[#This Row],[Credit]]&gt;0,"Income","Expense")</f>
        <v>Expense</v>
      </c>
      <c r="H4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2" s="3">
        <f>Account_Data[[#This Row],[Credit]]-Account_Data[[#This Row],[Debit]]</f>
        <v>-249</v>
      </c>
      <c r="J442" s="7">
        <f>EOMONTH(Account_Data[[#This Row],[Date]],0)</f>
        <v>45991</v>
      </c>
      <c r="K442">
        <f>ABS(Account_Data[[#This Row],[Amount]])</f>
        <v>249</v>
      </c>
    </row>
    <row r="443" spans="1:11" x14ac:dyDescent="0.35">
      <c r="A443" s="73">
        <v>45977</v>
      </c>
      <c r="B443" t="s">
        <v>298</v>
      </c>
      <c r="C443" s="3">
        <v>200</v>
      </c>
      <c r="E443" s="3">
        <v>29881.71</v>
      </c>
      <c r="F443" t="str">
        <f>TEXT(Account_Data[[#This Row],[Date]],"mmm-yyyy")</f>
        <v>Nov-2025</v>
      </c>
      <c r="G443" t="str">
        <f>IF(Account_Data[[#This Row],[Credit]]&gt;0,"Income","Expense")</f>
        <v>Expense</v>
      </c>
      <c r="H4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3" s="3">
        <f>Account_Data[[#This Row],[Credit]]-Account_Data[[#This Row],[Debit]]</f>
        <v>-200</v>
      </c>
      <c r="J443" s="7">
        <f>EOMONTH(Account_Data[[#This Row],[Date]],0)</f>
        <v>45991</v>
      </c>
      <c r="K443">
        <f>ABS(Account_Data[[#This Row],[Amount]])</f>
        <v>200</v>
      </c>
    </row>
    <row r="444" spans="1:11" x14ac:dyDescent="0.35">
      <c r="A444" s="73">
        <v>45977</v>
      </c>
      <c r="B444" t="s">
        <v>263</v>
      </c>
      <c r="C444" s="3">
        <v>503</v>
      </c>
      <c r="E444" s="3">
        <v>29378.71</v>
      </c>
      <c r="F444" t="str">
        <f>TEXT(Account_Data[[#This Row],[Date]],"mmm-yyyy")</f>
        <v>Nov-2025</v>
      </c>
      <c r="G444" t="str">
        <f>IF(Account_Data[[#This Row],[Credit]]&gt;0,"Income","Expense")</f>
        <v>Expense</v>
      </c>
      <c r="H4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4" s="3">
        <f>Account_Data[[#This Row],[Credit]]-Account_Data[[#This Row],[Debit]]</f>
        <v>-503</v>
      </c>
      <c r="J444" s="7">
        <f>EOMONTH(Account_Data[[#This Row],[Date]],0)</f>
        <v>45991</v>
      </c>
      <c r="K444">
        <f>ABS(Account_Data[[#This Row],[Amount]])</f>
        <v>503</v>
      </c>
    </row>
    <row r="445" spans="1:11" x14ac:dyDescent="0.35">
      <c r="A445" s="73">
        <v>45988</v>
      </c>
      <c r="B445" t="s">
        <v>299</v>
      </c>
      <c r="C445" s="3">
        <v>350</v>
      </c>
      <c r="E445" s="3">
        <v>29028.71</v>
      </c>
      <c r="F445" t="str">
        <f>TEXT(Account_Data[[#This Row],[Date]],"mmm-yyyy")</f>
        <v>Nov-2025</v>
      </c>
      <c r="G445" t="str">
        <f>IF(Account_Data[[#This Row],[Credit]]&gt;0,"Income","Expense")</f>
        <v>Expense</v>
      </c>
      <c r="H4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5" s="3">
        <f>Account_Data[[#This Row],[Credit]]-Account_Data[[#This Row],[Debit]]</f>
        <v>-350</v>
      </c>
      <c r="J445" s="7">
        <f>EOMONTH(Account_Data[[#This Row],[Date]],0)</f>
        <v>45991</v>
      </c>
      <c r="K445">
        <f>ABS(Account_Data[[#This Row],[Amount]])</f>
        <v>350</v>
      </c>
    </row>
    <row r="446" spans="1:11" x14ac:dyDescent="0.35">
      <c r="A446" s="73">
        <v>45988</v>
      </c>
      <c r="B446" t="s">
        <v>495</v>
      </c>
      <c r="D446" s="3">
        <v>109796</v>
      </c>
      <c r="E446" s="3">
        <v>138824.71</v>
      </c>
      <c r="F446" t="str">
        <f>TEXT(Account_Data[[#This Row],[Date]],"mmm-yyyy")</f>
        <v>Nov-2025</v>
      </c>
      <c r="G446" t="str">
        <f>IF(Account_Data[[#This Row],[Credit]]&gt;0,"Income","Expense")</f>
        <v>Income</v>
      </c>
      <c r="H4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446" s="3">
        <f>Account_Data[[#This Row],[Credit]]-Account_Data[[#This Row],[Debit]]</f>
        <v>109796</v>
      </c>
      <c r="J446" s="7">
        <f>EOMONTH(Account_Data[[#This Row],[Date]],0)</f>
        <v>45991</v>
      </c>
      <c r="K446">
        <f>ABS(Account_Data[[#This Row],[Amount]])</f>
        <v>109796</v>
      </c>
    </row>
    <row r="447" spans="1:11" x14ac:dyDescent="0.35">
      <c r="A447" s="73">
        <v>45989</v>
      </c>
      <c r="B447" t="s">
        <v>99</v>
      </c>
      <c r="C447" s="3">
        <v>1000</v>
      </c>
      <c r="E447" s="3">
        <v>137824.71</v>
      </c>
      <c r="F447" t="str">
        <f>TEXT(Account_Data[[#This Row],[Date]],"mmm-yyyy")</f>
        <v>Nov-2025</v>
      </c>
      <c r="G447" t="str">
        <f>IF(Account_Data[[#This Row],[Credit]]&gt;0,"Income","Expense")</f>
        <v>Expense</v>
      </c>
      <c r="H4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47" s="3">
        <f>Account_Data[[#This Row],[Credit]]-Account_Data[[#This Row],[Debit]]</f>
        <v>-1000</v>
      </c>
      <c r="J447" s="7">
        <f>EOMONTH(Account_Data[[#This Row],[Date]],0)</f>
        <v>45991</v>
      </c>
      <c r="K447">
        <f>ABS(Account_Data[[#This Row],[Amount]])</f>
        <v>1000</v>
      </c>
    </row>
    <row r="448" spans="1:11" x14ac:dyDescent="0.35">
      <c r="A448" s="73">
        <v>45990</v>
      </c>
      <c r="B448" t="s">
        <v>300</v>
      </c>
      <c r="C448" s="3">
        <v>2200</v>
      </c>
      <c r="E448" s="3">
        <v>135624.71</v>
      </c>
      <c r="F448" t="str">
        <f>TEXT(Account_Data[[#This Row],[Date]],"mmm-yyyy")</f>
        <v>Nov-2025</v>
      </c>
      <c r="G448" t="str">
        <f>IF(Account_Data[[#This Row],[Credit]]&gt;0,"Income","Expense")</f>
        <v>Expense</v>
      </c>
      <c r="H4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48" s="3">
        <f>Account_Data[[#This Row],[Credit]]-Account_Data[[#This Row],[Debit]]</f>
        <v>-2200</v>
      </c>
      <c r="J448" s="7">
        <f>EOMONTH(Account_Data[[#This Row],[Date]],0)</f>
        <v>45991</v>
      </c>
      <c r="K448">
        <f>ABS(Account_Data[[#This Row],[Amount]])</f>
        <v>2200</v>
      </c>
    </row>
    <row r="449" spans="1:11" x14ac:dyDescent="0.35">
      <c r="A449" s="73">
        <v>45991</v>
      </c>
      <c r="B449" t="s">
        <v>113</v>
      </c>
      <c r="D449" s="3">
        <v>1500000</v>
      </c>
      <c r="E449" s="3">
        <v>1635624.71</v>
      </c>
      <c r="F449" t="str">
        <f>TEXT(Account_Data[[#This Row],[Date]],"mmm-yyyy")</f>
        <v>Nov-2025</v>
      </c>
      <c r="G449" t="str">
        <f>IF(Account_Data[[#This Row],[Credit]]&gt;0,"Income","Expense")</f>
        <v>Income</v>
      </c>
      <c r="H4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Loan Taken</v>
      </c>
      <c r="I449" s="3">
        <f>Account_Data[[#This Row],[Credit]]-Account_Data[[#This Row],[Debit]]</f>
        <v>1500000</v>
      </c>
      <c r="J449" s="7">
        <f>EOMONTH(Account_Data[[#This Row],[Date]],0)</f>
        <v>45991</v>
      </c>
      <c r="K449">
        <f>ABS(Account_Data[[#This Row],[Amount]])</f>
        <v>1500000</v>
      </c>
    </row>
    <row r="450" spans="1:11" x14ac:dyDescent="0.35">
      <c r="A450" s="73">
        <v>45992</v>
      </c>
      <c r="B450" t="s">
        <v>89</v>
      </c>
      <c r="C450" s="3">
        <v>2000</v>
      </c>
      <c r="E450" s="3">
        <v>1633624.71</v>
      </c>
      <c r="F450" t="str">
        <f>TEXT(Account_Data[[#This Row],[Date]],"mmm-yyyy")</f>
        <v>Dec-2025</v>
      </c>
      <c r="G450" t="str">
        <f>IF(Account_Data[[#This Row],[Credit]]&gt;0,"Income","Expense")</f>
        <v>Expense</v>
      </c>
      <c r="H4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0" s="3">
        <f>Account_Data[[#This Row],[Credit]]-Account_Data[[#This Row],[Debit]]</f>
        <v>-2000</v>
      </c>
      <c r="J450" s="7">
        <f>EOMONTH(Account_Data[[#This Row],[Date]],0)</f>
        <v>46022</v>
      </c>
      <c r="K450">
        <f>ABS(Account_Data[[#This Row],[Amount]])</f>
        <v>2000</v>
      </c>
    </row>
    <row r="451" spans="1:11" x14ac:dyDescent="0.35">
      <c r="A451" s="73">
        <v>45992</v>
      </c>
      <c r="B451" t="s">
        <v>89</v>
      </c>
      <c r="C451" s="3">
        <v>2000</v>
      </c>
      <c r="E451" s="3">
        <v>1631624.71</v>
      </c>
      <c r="F451" t="str">
        <f>TEXT(Account_Data[[#This Row],[Date]],"mmm-yyyy")</f>
        <v>Dec-2025</v>
      </c>
      <c r="G451" t="str">
        <f>IF(Account_Data[[#This Row],[Credit]]&gt;0,"Income","Expense")</f>
        <v>Expense</v>
      </c>
      <c r="H4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1" s="3">
        <f>Account_Data[[#This Row],[Credit]]-Account_Data[[#This Row],[Debit]]</f>
        <v>-2000</v>
      </c>
      <c r="J451" s="7">
        <f>EOMONTH(Account_Data[[#This Row],[Date]],0)</f>
        <v>46022</v>
      </c>
      <c r="K451">
        <f>ABS(Account_Data[[#This Row],[Amount]])</f>
        <v>2000</v>
      </c>
    </row>
    <row r="452" spans="1:11" x14ac:dyDescent="0.35">
      <c r="A452" s="73">
        <v>45992</v>
      </c>
      <c r="B452" t="s">
        <v>89</v>
      </c>
      <c r="C452" s="3">
        <v>2000</v>
      </c>
      <c r="E452" s="3">
        <v>1629624.71</v>
      </c>
      <c r="F452" t="str">
        <f>TEXT(Account_Data[[#This Row],[Date]],"mmm-yyyy")</f>
        <v>Dec-2025</v>
      </c>
      <c r="G452" t="str">
        <f>IF(Account_Data[[#This Row],[Credit]]&gt;0,"Income","Expense")</f>
        <v>Expense</v>
      </c>
      <c r="H4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2" s="3">
        <f>Account_Data[[#This Row],[Credit]]-Account_Data[[#This Row],[Debit]]</f>
        <v>-2000</v>
      </c>
      <c r="J452" s="7">
        <f>EOMONTH(Account_Data[[#This Row],[Date]],0)</f>
        <v>46022</v>
      </c>
      <c r="K452">
        <f>ABS(Account_Data[[#This Row],[Amount]])</f>
        <v>2000</v>
      </c>
    </row>
    <row r="453" spans="1:11" x14ac:dyDescent="0.35">
      <c r="A453" s="73">
        <v>45992</v>
      </c>
      <c r="B453" t="s">
        <v>89</v>
      </c>
      <c r="C453" s="3">
        <v>3000</v>
      </c>
      <c r="E453" s="3">
        <v>1626624.71</v>
      </c>
      <c r="F453" t="str">
        <f>TEXT(Account_Data[[#This Row],[Date]],"mmm-yyyy")</f>
        <v>Dec-2025</v>
      </c>
      <c r="G453" t="str">
        <f>IF(Account_Data[[#This Row],[Credit]]&gt;0,"Income","Expense")</f>
        <v>Expense</v>
      </c>
      <c r="H4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3" s="3">
        <f>Account_Data[[#This Row],[Credit]]-Account_Data[[#This Row],[Debit]]</f>
        <v>-3000</v>
      </c>
      <c r="J453" s="7">
        <f>EOMONTH(Account_Data[[#This Row],[Date]],0)</f>
        <v>46022</v>
      </c>
      <c r="K453">
        <f>ABS(Account_Data[[#This Row],[Amount]])</f>
        <v>3000</v>
      </c>
    </row>
    <row r="454" spans="1:11" x14ac:dyDescent="0.35">
      <c r="A454" s="73">
        <v>45992</v>
      </c>
      <c r="B454" t="s">
        <v>89</v>
      </c>
      <c r="C454" s="3">
        <v>5000</v>
      </c>
      <c r="E454" s="3">
        <v>1621624.71</v>
      </c>
      <c r="F454" t="str">
        <f>TEXT(Account_Data[[#This Row],[Date]],"mmm-yyyy")</f>
        <v>Dec-2025</v>
      </c>
      <c r="G454" t="str">
        <f>IF(Account_Data[[#This Row],[Credit]]&gt;0,"Income","Expense")</f>
        <v>Expense</v>
      </c>
      <c r="H4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4" s="3">
        <f>Account_Data[[#This Row],[Credit]]-Account_Data[[#This Row],[Debit]]</f>
        <v>-5000</v>
      </c>
      <c r="J454" s="7">
        <f>EOMONTH(Account_Data[[#This Row],[Date]],0)</f>
        <v>46022</v>
      </c>
      <c r="K454">
        <f>ABS(Account_Data[[#This Row],[Amount]])</f>
        <v>5000</v>
      </c>
    </row>
    <row r="455" spans="1:11" x14ac:dyDescent="0.35">
      <c r="A455" s="73">
        <v>45992</v>
      </c>
      <c r="B455" t="s">
        <v>90</v>
      </c>
      <c r="C455" s="3">
        <v>1000</v>
      </c>
      <c r="E455" s="3">
        <v>1620624.71</v>
      </c>
      <c r="F455" t="str">
        <f>TEXT(Account_Data[[#This Row],[Date]],"mmm-yyyy")</f>
        <v>Dec-2025</v>
      </c>
      <c r="G455" t="str">
        <f>IF(Account_Data[[#This Row],[Credit]]&gt;0,"Income","Expense")</f>
        <v>Expense</v>
      </c>
      <c r="H4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455" s="3">
        <f>Account_Data[[#This Row],[Credit]]-Account_Data[[#This Row],[Debit]]</f>
        <v>-1000</v>
      </c>
      <c r="J455" s="7">
        <f>EOMONTH(Account_Data[[#This Row],[Date]],0)</f>
        <v>46022</v>
      </c>
      <c r="K455">
        <f>ABS(Account_Data[[#This Row],[Amount]])</f>
        <v>1000</v>
      </c>
    </row>
    <row r="456" spans="1:11" x14ac:dyDescent="0.35">
      <c r="A456" s="73">
        <v>45992</v>
      </c>
      <c r="B456" t="s">
        <v>110</v>
      </c>
      <c r="C456" s="3">
        <v>15946</v>
      </c>
      <c r="E456" s="3">
        <v>1604678.71</v>
      </c>
      <c r="F456" t="str">
        <f>TEXT(Account_Data[[#This Row],[Date]],"mmm-yyyy")</f>
        <v>Dec-2025</v>
      </c>
      <c r="G456" t="str">
        <f>IF(Account_Data[[#This Row],[Credit]]&gt;0,"Income","Expense")</f>
        <v>Expense</v>
      </c>
      <c r="H4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6" s="3">
        <f>Account_Data[[#This Row],[Credit]]-Account_Data[[#This Row],[Debit]]</f>
        <v>-15946</v>
      </c>
      <c r="J456" s="7">
        <f>EOMONTH(Account_Data[[#This Row],[Date]],0)</f>
        <v>46022</v>
      </c>
      <c r="K456">
        <f>ABS(Account_Data[[#This Row],[Amount]])</f>
        <v>15946</v>
      </c>
    </row>
    <row r="457" spans="1:11" x14ac:dyDescent="0.35">
      <c r="A457" s="73">
        <v>45993</v>
      </c>
      <c r="B457" t="s">
        <v>91</v>
      </c>
      <c r="C457" s="3">
        <v>7717</v>
      </c>
      <c r="E457" s="3">
        <v>1596961.71</v>
      </c>
      <c r="F457" t="str">
        <f>TEXT(Account_Data[[#This Row],[Date]],"mmm-yyyy")</f>
        <v>Dec-2025</v>
      </c>
      <c r="G457" t="str">
        <f>IF(Account_Data[[#This Row],[Credit]]&gt;0,"Income","Expense")</f>
        <v>Expense</v>
      </c>
      <c r="H4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7" s="3">
        <f>Account_Data[[#This Row],[Credit]]-Account_Data[[#This Row],[Debit]]</f>
        <v>-7717</v>
      </c>
      <c r="J457" s="7">
        <f>EOMONTH(Account_Data[[#This Row],[Date]],0)</f>
        <v>46022</v>
      </c>
      <c r="K457">
        <f>ABS(Account_Data[[#This Row],[Amount]])</f>
        <v>7717</v>
      </c>
    </row>
    <row r="458" spans="1:11" x14ac:dyDescent="0.35">
      <c r="A458" s="73">
        <v>45993</v>
      </c>
      <c r="B458" t="s">
        <v>91</v>
      </c>
      <c r="C458" s="3">
        <v>8704</v>
      </c>
      <c r="E458" s="3">
        <v>1588257.71</v>
      </c>
      <c r="F458" t="str">
        <f>TEXT(Account_Data[[#This Row],[Date]],"mmm-yyyy")</f>
        <v>Dec-2025</v>
      </c>
      <c r="G458" t="str">
        <f>IF(Account_Data[[#This Row],[Credit]]&gt;0,"Income","Expense")</f>
        <v>Expense</v>
      </c>
      <c r="H4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58" s="3">
        <f>Account_Data[[#This Row],[Credit]]-Account_Data[[#This Row],[Debit]]</f>
        <v>-8704</v>
      </c>
      <c r="J458" s="7">
        <f>EOMONTH(Account_Data[[#This Row],[Date]],0)</f>
        <v>46022</v>
      </c>
      <c r="K458">
        <f>ABS(Account_Data[[#This Row],[Amount]])</f>
        <v>8704</v>
      </c>
    </row>
    <row r="459" spans="1:11" x14ac:dyDescent="0.35">
      <c r="A459" s="73">
        <v>45993</v>
      </c>
      <c r="B459" t="s">
        <v>90</v>
      </c>
      <c r="C459" s="3">
        <v>1500</v>
      </c>
      <c r="E459" s="3">
        <v>1586757.71</v>
      </c>
      <c r="F459" t="str">
        <f>TEXT(Account_Data[[#This Row],[Date]],"mmm-yyyy")</f>
        <v>Dec-2025</v>
      </c>
      <c r="G459" t="str">
        <f>IF(Account_Data[[#This Row],[Credit]]&gt;0,"Income","Expense")</f>
        <v>Expense</v>
      </c>
      <c r="H4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459" s="3">
        <f>Account_Data[[#This Row],[Credit]]-Account_Data[[#This Row],[Debit]]</f>
        <v>-1500</v>
      </c>
      <c r="J459" s="7">
        <f>EOMONTH(Account_Data[[#This Row],[Date]],0)</f>
        <v>46022</v>
      </c>
      <c r="K459">
        <f>ABS(Account_Data[[#This Row],[Amount]])</f>
        <v>1500</v>
      </c>
    </row>
    <row r="460" spans="1:11" x14ac:dyDescent="0.35">
      <c r="A460" s="73">
        <v>45994</v>
      </c>
      <c r="B460" t="s">
        <v>89</v>
      </c>
      <c r="C460" s="3">
        <v>10000</v>
      </c>
      <c r="E460" s="3">
        <v>1576757.71</v>
      </c>
      <c r="F460" t="str">
        <f>TEXT(Account_Data[[#This Row],[Date]],"mmm-yyyy")</f>
        <v>Dec-2025</v>
      </c>
      <c r="G460" t="str">
        <f>IF(Account_Data[[#This Row],[Credit]]&gt;0,"Income","Expense")</f>
        <v>Expense</v>
      </c>
      <c r="H4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60" s="3">
        <f>Account_Data[[#This Row],[Credit]]-Account_Data[[#This Row],[Debit]]</f>
        <v>-10000</v>
      </c>
      <c r="J460" s="7">
        <f>EOMONTH(Account_Data[[#This Row],[Date]],0)</f>
        <v>46022</v>
      </c>
      <c r="K460">
        <f>ABS(Account_Data[[#This Row],[Amount]])</f>
        <v>10000</v>
      </c>
    </row>
    <row r="461" spans="1:11" x14ac:dyDescent="0.35">
      <c r="A461" s="73">
        <v>45994</v>
      </c>
      <c r="B461" t="s">
        <v>126</v>
      </c>
      <c r="D461" s="3">
        <v>5000</v>
      </c>
      <c r="E461" s="3">
        <v>1581757.71</v>
      </c>
      <c r="F461" t="str">
        <f>TEXT(Account_Data[[#This Row],[Date]],"mmm-yyyy")</f>
        <v>Dec-2025</v>
      </c>
      <c r="G461" t="str">
        <f>IF(Account_Data[[#This Row],[Credit]]&gt;0,"Income","Expense")</f>
        <v>Income</v>
      </c>
      <c r="H4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1" s="3">
        <f>Account_Data[[#This Row],[Credit]]-Account_Data[[#This Row],[Debit]]</f>
        <v>5000</v>
      </c>
      <c r="J461" s="7">
        <f>EOMONTH(Account_Data[[#This Row],[Date]],0)</f>
        <v>46022</v>
      </c>
      <c r="K461">
        <f>ABS(Account_Data[[#This Row],[Amount]])</f>
        <v>5000</v>
      </c>
    </row>
    <row r="462" spans="1:11" x14ac:dyDescent="0.35">
      <c r="A462" s="73">
        <v>45995</v>
      </c>
      <c r="B462" t="s">
        <v>91</v>
      </c>
      <c r="C462" s="3">
        <v>6280</v>
      </c>
      <c r="E462" s="3">
        <v>1575477.71</v>
      </c>
      <c r="F462" t="str">
        <f>TEXT(Account_Data[[#This Row],[Date]],"mmm-yyyy")</f>
        <v>Dec-2025</v>
      </c>
      <c r="G462" t="str">
        <f>IF(Account_Data[[#This Row],[Credit]]&gt;0,"Income","Expense")</f>
        <v>Expense</v>
      </c>
      <c r="H4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462" s="3">
        <f>Account_Data[[#This Row],[Credit]]-Account_Data[[#This Row],[Debit]]</f>
        <v>-6280</v>
      </c>
      <c r="J462" s="7">
        <f>EOMONTH(Account_Data[[#This Row],[Date]],0)</f>
        <v>46022</v>
      </c>
      <c r="K462">
        <f>ABS(Account_Data[[#This Row],[Amount]])</f>
        <v>6280</v>
      </c>
    </row>
    <row r="463" spans="1:11" x14ac:dyDescent="0.35">
      <c r="A463" s="73">
        <v>45995</v>
      </c>
      <c r="B463" t="s">
        <v>127</v>
      </c>
      <c r="D463" s="3">
        <v>59.52</v>
      </c>
      <c r="E463" s="3">
        <v>1575537.23</v>
      </c>
      <c r="F463" t="str">
        <f>TEXT(Account_Data[[#This Row],[Date]],"mmm-yyyy")</f>
        <v>Dec-2025</v>
      </c>
      <c r="G463" t="str">
        <f>IF(Account_Data[[#This Row],[Credit]]&gt;0,"Income","Expense")</f>
        <v>Income</v>
      </c>
      <c r="H4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63" s="3">
        <f>Account_Data[[#This Row],[Credit]]-Account_Data[[#This Row],[Debit]]</f>
        <v>59.52</v>
      </c>
      <c r="J463" s="7">
        <f>EOMONTH(Account_Data[[#This Row],[Date]],0)</f>
        <v>46022</v>
      </c>
      <c r="K463">
        <f>ABS(Account_Data[[#This Row],[Amount]])</f>
        <v>59.52</v>
      </c>
    </row>
    <row r="464" spans="1:11" x14ac:dyDescent="0.35">
      <c r="A464" s="73">
        <v>45995</v>
      </c>
      <c r="B464" t="s">
        <v>178</v>
      </c>
      <c r="C464" s="3">
        <v>17711</v>
      </c>
      <c r="E464" s="3">
        <v>1557826.23</v>
      </c>
      <c r="F464" t="str">
        <f>TEXT(Account_Data[[#This Row],[Date]],"mmm-yyyy")</f>
        <v>Dec-2025</v>
      </c>
      <c r="G464" t="str">
        <f>IF(Account_Data[[#This Row],[Credit]]&gt;0,"Income","Expense")</f>
        <v>Expense</v>
      </c>
      <c r="H4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Loan Payment</v>
      </c>
      <c r="I464" s="3">
        <f>Account_Data[[#This Row],[Credit]]-Account_Data[[#This Row],[Debit]]</f>
        <v>-17711</v>
      </c>
      <c r="J464" s="7">
        <f>EOMONTH(Account_Data[[#This Row],[Date]],0)</f>
        <v>46022</v>
      </c>
      <c r="K464">
        <f>ABS(Account_Data[[#This Row],[Amount]])</f>
        <v>17711</v>
      </c>
    </row>
    <row r="465" spans="1:11" x14ac:dyDescent="0.35">
      <c r="A465" s="73">
        <v>45996</v>
      </c>
      <c r="B465" t="s">
        <v>145</v>
      </c>
      <c r="C465" s="3">
        <v>15000</v>
      </c>
      <c r="E465" s="3">
        <v>1542826.23</v>
      </c>
      <c r="F465" t="str">
        <f>TEXT(Account_Data[[#This Row],[Date]],"mmm-yyyy")</f>
        <v>Dec-2025</v>
      </c>
      <c r="G465" t="str">
        <f>IF(Account_Data[[#This Row],[Credit]]&gt;0,"Income","Expense")</f>
        <v>Expense</v>
      </c>
      <c r="H4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5" s="3">
        <f>Account_Data[[#This Row],[Credit]]-Account_Data[[#This Row],[Debit]]</f>
        <v>-15000</v>
      </c>
      <c r="J465" s="7">
        <f>EOMONTH(Account_Data[[#This Row],[Date]],0)</f>
        <v>46022</v>
      </c>
      <c r="K465">
        <f>ABS(Account_Data[[#This Row],[Amount]])</f>
        <v>15000</v>
      </c>
    </row>
    <row r="466" spans="1:11" x14ac:dyDescent="0.35">
      <c r="A466" s="73">
        <v>45996</v>
      </c>
      <c r="B466" t="s">
        <v>146</v>
      </c>
      <c r="C466" s="3">
        <v>50</v>
      </c>
      <c r="E466" s="3">
        <v>1542776.23</v>
      </c>
      <c r="F466" t="str">
        <f>TEXT(Account_Data[[#This Row],[Date]],"mmm-yyyy")</f>
        <v>Dec-2025</v>
      </c>
      <c r="G466" t="str">
        <f>IF(Account_Data[[#This Row],[Credit]]&gt;0,"Income","Expense")</f>
        <v>Expense</v>
      </c>
      <c r="H4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6" s="3">
        <f>Account_Data[[#This Row],[Credit]]-Account_Data[[#This Row],[Debit]]</f>
        <v>-50</v>
      </c>
      <c r="J466" s="7">
        <f>EOMONTH(Account_Data[[#This Row],[Date]],0)</f>
        <v>46022</v>
      </c>
      <c r="K466">
        <f>ABS(Account_Data[[#This Row],[Amount]])</f>
        <v>50</v>
      </c>
    </row>
    <row r="467" spans="1:11" x14ac:dyDescent="0.35">
      <c r="A467" s="73">
        <v>45998</v>
      </c>
      <c r="B467" t="s">
        <v>301</v>
      </c>
      <c r="C467" s="3">
        <v>6834</v>
      </c>
      <c r="E467" s="3">
        <v>1535942.23</v>
      </c>
      <c r="F467" t="str">
        <f>TEXT(Account_Data[[#This Row],[Date]],"mmm-yyyy")</f>
        <v>Dec-2025</v>
      </c>
      <c r="G467" t="str">
        <f>IF(Account_Data[[#This Row],[Credit]]&gt;0,"Income","Expense")</f>
        <v>Expense</v>
      </c>
      <c r="H4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7" s="3">
        <f>Account_Data[[#This Row],[Credit]]-Account_Data[[#This Row],[Debit]]</f>
        <v>-6834</v>
      </c>
      <c r="J467" s="7">
        <f>EOMONTH(Account_Data[[#This Row],[Date]],0)</f>
        <v>46022</v>
      </c>
      <c r="K467">
        <f>ABS(Account_Data[[#This Row],[Amount]])</f>
        <v>6834</v>
      </c>
    </row>
    <row r="468" spans="1:11" x14ac:dyDescent="0.35">
      <c r="A468" s="73">
        <v>45998</v>
      </c>
      <c r="B468" t="s">
        <v>302</v>
      </c>
      <c r="C468" s="3">
        <v>370</v>
      </c>
      <c r="E468" s="3">
        <v>1535572.23</v>
      </c>
      <c r="F468" t="str">
        <f>TEXT(Account_Data[[#This Row],[Date]],"mmm-yyyy")</f>
        <v>Dec-2025</v>
      </c>
      <c r="G468" t="str">
        <f>IF(Account_Data[[#This Row],[Credit]]&gt;0,"Income","Expense")</f>
        <v>Expense</v>
      </c>
      <c r="H4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8" s="3">
        <f>Account_Data[[#This Row],[Credit]]-Account_Data[[#This Row],[Debit]]</f>
        <v>-370</v>
      </c>
      <c r="J468" s="7">
        <f>EOMONTH(Account_Data[[#This Row],[Date]],0)</f>
        <v>46022</v>
      </c>
      <c r="K468">
        <f>ABS(Account_Data[[#This Row],[Amount]])</f>
        <v>370</v>
      </c>
    </row>
    <row r="469" spans="1:11" x14ac:dyDescent="0.35">
      <c r="A469" s="73">
        <v>45998</v>
      </c>
      <c r="B469" t="s">
        <v>128</v>
      </c>
      <c r="D469" s="3">
        <v>370</v>
      </c>
      <c r="E469" s="3">
        <v>1535942.23</v>
      </c>
      <c r="F469" t="str">
        <f>TEXT(Account_Data[[#This Row],[Date]],"mmm-yyyy")</f>
        <v>Dec-2025</v>
      </c>
      <c r="G469" t="str">
        <f>IF(Account_Data[[#This Row],[Credit]]&gt;0,"Income","Expense")</f>
        <v>Income</v>
      </c>
      <c r="H4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69" s="3">
        <f>Account_Data[[#This Row],[Credit]]-Account_Data[[#This Row],[Debit]]</f>
        <v>370</v>
      </c>
      <c r="J469" s="7">
        <f>EOMONTH(Account_Data[[#This Row],[Date]],0)</f>
        <v>46022</v>
      </c>
      <c r="K469">
        <f>ABS(Account_Data[[#This Row],[Amount]])</f>
        <v>370</v>
      </c>
    </row>
    <row r="470" spans="1:11" x14ac:dyDescent="0.35">
      <c r="A470" s="73">
        <v>45999</v>
      </c>
      <c r="B470" t="s">
        <v>303</v>
      </c>
      <c r="C470" s="3">
        <v>1000</v>
      </c>
      <c r="E470" s="3">
        <v>1534942.23</v>
      </c>
      <c r="F470" t="str">
        <f>TEXT(Account_Data[[#This Row],[Date]],"mmm-yyyy")</f>
        <v>Dec-2025</v>
      </c>
      <c r="G470" t="str">
        <f>IF(Account_Data[[#This Row],[Credit]]&gt;0,"Income","Expense")</f>
        <v>Expense</v>
      </c>
      <c r="H4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0" s="3">
        <f>Account_Data[[#This Row],[Credit]]-Account_Data[[#This Row],[Debit]]</f>
        <v>-1000</v>
      </c>
      <c r="J470" s="7">
        <f>EOMONTH(Account_Data[[#This Row],[Date]],0)</f>
        <v>46022</v>
      </c>
      <c r="K470">
        <f>ABS(Account_Data[[#This Row],[Amount]])</f>
        <v>1000</v>
      </c>
    </row>
    <row r="471" spans="1:11" x14ac:dyDescent="0.35">
      <c r="A471" s="73">
        <v>45999</v>
      </c>
      <c r="B471" t="s">
        <v>304</v>
      </c>
      <c r="C471" s="3">
        <v>1945</v>
      </c>
      <c r="E471" s="3">
        <v>1532997.23</v>
      </c>
      <c r="F471" t="str">
        <f>TEXT(Account_Data[[#This Row],[Date]],"mmm-yyyy")</f>
        <v>Dec-2025</v>
      </c>
      <c r="G471" t="str">
        <f>IF(Account_Data[[#This Row],[Credit]]&gt;0,"Income","Expense")</f>
        <v>Expense</v>
      </c>
      <c r="H4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1" s="3">
        <f>Account_Data[[#This Row],[Credit]]-Account_Data[[#This Row],[Debit]]</f>
        <v>-1945</v>
      </c>
      <c r="J471" s="7">
        <f>EOMONTH(Account_Data[[#This Row],[Date]],0)</f>
        <v>46022</v>
      </c>
      <c r="K471">
        <f>ABS(Account_Data[[#This Row],[Amount]])</f>
        <v>1945</v>
      </c>
    </row>
    <row r="472" spans="1:11" x14ac:dyDescent="0.35">
      <c r="A472" s="73">
        <v>45999</v>
      </c>
      <c r="B472" t="s">
        <v>305</v>
      </c>
      <c r="C472" s="3">
        <v>3300</v>
      </c>
      <c r="E472" s="3">
        <v>1529697.23</v>
      </c>
      <c r="F472" t="str">
        <f>TEXT(Account_Data[[#This Row],[Date]],"mmm-yyyy")</f>
        <v>Dec-2025</v>
      </c>
      <c r="G472" t="str">
        <f>IF(Account_Data[[#This Row],[Credit]]&gt;0,"Income","Expense")</f>
        <v>Expense</v>
      </c>
      <c r="H4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2" s="3">
        <f>Account_Data[[#This Row],[Credit]]-Account_Data[[#This Row],[Debit]]</f>
        <v>-3300</v>
      </c>
      <c r="J472" s="7">
        <f>EOMONTH(Account_Data[[#This Row],[Date]],0)</f>
        <v>46022</v>
      </c>
      <c r="K472">
        <f>ABS(Account_Data[[#This Row],[Amount]])</f>
        <v>3300</v>
      </c>
    </row>
    <row r="473" spans="1:11" x14ac:dyDescent="0.35">
      <c r="A473" s="73">
        <v>45999</v>
      </c>
      <c r="B473" t="s">
        <v>306</v>
      </c>
      <c r="C473" s="3">
        <v>875</v>
      </c>
      <c r="E473" s="3">
        <v>1528822.23</v>
      </c>
      <c r="F473" t="str">
        <f>TEXT(Account_Data[[#This Row],[Date]],"mmm-yyyy")</f>
        <v>Dec-2025</v>
      </c>
      <c r="G473" t="str">
        <f>IF(Account_Data[[#This Row],[Credit]]&gt;0,"Income","Expense")</f>
        <v>Expense</v>
      </c>
      <c r="H4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3" s="3">
        <f>Account_Data[[#This Row],[Credit]]-Account_Data[[#This Row],[Debit]]</f>
        <v>-875</v>
      </c>
      <c r="J473" s="7">
        <f>EOMONTH(Account_Data[[#This Row],[Date]],0)</f>
        <v>46022</v>
      </c>
      <c r="K473">
        <f>ABS(Account_Data[[#This Row],[Amount]])</f>
        <v>875</v>
      </c>
    </row>
    <row r="474" spans="1:11" x14ac:dyDescent="0.35">
      <c r="A474" s="73">
        <v>45999</v>
      </c>
      <c r="B474" t="s">
        <v>177</v>
      </c>
      <c r="C474" s="3">
        <v>4000</v>
      </c>
      <c r="E474" s="3">
        <v>1524822.23</v>
      </c>
      <c r="F474" t="str">
        <f>TEXT(Account_Data[[#This Row],[Date]],"mmm-yyyy")</f>
        <v>Dec-2025</v>
      </c>
      <c r="G474" t="str">
        <f>IF(Account_Data[[#This Row],[Credit]]&gt;0,"Income","Expense")</f>
        <v>Expense</v>
      </c>
      <c r="H4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4" s="3">
        <f>Account_Data[[#This Row],[Credit]]-Account_Data[[#This Row],[Debit]]</f>
        <v>-4000</v>
      </c>
      <c r="J474" s="7">
        <f>EOMONTH(Account_Data[[#This Row],[Date]],0)</f>
        <v>46022</v>
      </c>
      <c r="K474">
        <f>ABS(Account_Data[[#This Row],[Amount]])</f>
        <v>4000</v>
      </c>
    </row>
    <row r="475" spans="1:11" x14ac:dyDescent="0.35">
      <c r="A475" s="73">
        <v>45999</v>
      </c>
      <c r="B475" t="s">
        <v>145</v>
      </c>
      <c r="C475" s="3">
        <v>1000</v>
      </c>
      <c r="E475" s="3">
        <v>1523822.23</v>
      </c>
      <c r="F475" t="str">
        <f>TEXT(Account_Data[[#This Row],[Date]],"mmm-yyyy")</f>
        <v>Dec-2025</v>
      </c>
      <c r="G475" t="str">
        <f>IF(Account_Data[[#This Row],[Credit]]&gt;0,"Income","Expense")</f>
        <v>Expense</v>
      </c>
      <c r="H4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5" s="3">
        <f>Account_Data[[#This Row],[Credit]]-Account_Data[[#This Row],[Debit]]</f>
        <v>-1000</v>
      </c>
      <c r="J475" s="7">
        <f>EOMONTH(Account_Data[[#This Row],[Date]],0)</f>
        <v>46022</v>
      </c>
      <c r="K475">
        <f>ABS(Account_Data[[#This Row],[Amount]])</f>
        <v>1000</v>
      </c>
    </row>
    <row r="476" spans="1:11" x14ac:dyDescent="0.35">
      <c r="A476" s="73">
        <v>46000</v>
      </c>
      <c r="B476" t="s">
        <v>234</v>
      </c>
      <c r="C476" s="3">
        <v>199</v>
      </c>
      <c r="E476" s="3">
        <v>1523623.23</v>
      </c>
      <c r="F476" t="str">
        <f>TEXT(Account_Data[[#This Row],[Date]],"mmm-yyyy")</f>
        <v>Dec-2025</v>
      </c>
      <c r="G476" t="str">
        <f>IF(Account_Data[[#This Row],[Credit]]&gt;0,"Income","Expense")</f>
        <v>Expense</v>
      </c>
      <c r="H4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6" s="3">
        <f>Account_Data[[#This Row],[Credit]]-Account_Data[[#This Row],[Debit]]</f>
        <v>-199</v>
      </c>
      <c r="J476" s="7">
        <f>EOMONTH(Account_Data[[#This Row],[Date]],0)</f>
        <v>46022</v>
      </c>
      <c r="K476">
        <f>ABS(Account_Data[[#This Row],[Amount]])</f>
        <v>199</v>
      </c>
    </row>
    <row r="477" spans="1:11" x14ac:dyDescent="0.35">
      <c r="A477" s="73">
        <v>46001</v>
      </c>
      <c r="B477" t="s">
        <v>307</v>
      </c>
      <c r="C477" s="3">
        <v>10000</v>
      </c>
      <c r="E477" s="3">
        <v>1513623.23</v>
      </c>
      <c r="F477" t="str">
        <f>TEXT(Account_Data[[#This Row],[Date]],"mmm-yyyy")</f>
        <v>Dec-2025</v>
      </c>
      <c r="G477" t="str">
        <f>IF(Account_Data[[#This Row],[Credit]]&gt;0,"Income","Expense")</f>
        <v>Expense</v>
      </c>
      <c r="H4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77" s="3">
        <f>Account_Data[[#This Row],[Credit]]-Account_Data[[#This Row],[Debit]]</f>
        <v>-10000</v>
      </c>
      <c r="J477" s="7">
        <f>EOMONTH(Account_Data[[#This Row],[Date]],0)</f>
        <v>46022</v>
      </c>
      <c r="K477">
        <f>ABS(Account_Data[[#This Row],[Amount]])</f>
        <v>10000</v>
      </c>
    </row>
    <row r="478" spans="1:11" x14ac:dyDescent="0.35">
      <c r="A478" s="73">
        <v>46002</v>
      </c>
      <c r="B478" t="s">
        <v>257</v>
      </c>
      <c r="C478" s="3">
        <v>20000</v>
      </c>
      <c r="E478" s="3">
        <v>1493623.23</v>
      </c>
      <c r="F478" t="str">
        <f>TEXT(Account_Data[[#This Row],[Date]],"mmm-yyyy")</f>
        <v>Dec-2025</v>
      </c>
      <c r="G478" t="str">
        <f>IF(Account_Data[[#This Row],[Credit]]&gt;0,"Income","Expense")</f>
        <v>Expense</v>
      </c>
      <c r="H4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478" s="3">
        <f>Account_Data[[#This Row],[Credit]]-Account_Data[[#This Row],[Debit]]</f>
        <v>-20000</v>
      </c>
      <c r="J478" s="7">
        <f>EOMONTH(Account_Data[[#This Row],[Date]],0)</f>
        <v>46022</v>
      </c>
      <c r="K478">
        <f>ABS(Account_Data[[#This Row],[Amount]])</f>
        <v>20000</v>
      </c>
    </row>
    <row r="479" spans="1:11" x14ac:dyDescent="0.35">
      <c r="A479" s="73">
        <v>46002</v>
      </c>
      <c r="B479" t="s">
        <v>129</v>
      </c>
      <c r="D479" s="3">
        <v>59.52</v>
      </c>
      <c r="E479" s="3">
        <v>1493682.75</v>
      </c>
      <c r="F479" t="str">
        <f>TEXT(Account_Data[[#This Row],[Date]],"mmm-yyyy")</f>
        <v>Dec-2025</v>
      </c>
      <c r="G479" t="str">
        <f>IF(Account_Data[[#This Row],[Credit]]&gt;0,"Income","Expense")</f>
        <v>Income</v>
      </c>
      <c r="H4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479" s="3">
        <f>Account_Data[[#This Row],[Credit]]-Account_Data[[#This Row],[Debit]]</f>
        <v>59.52</v>
      </c>
      <c r="J479" s="7">
        <f>EOMONTH(Account_Data[[#This Row],[Date]],0)</f>
        <v>46022</v>
      </c>
      <c r="K479">
        <f>ABS(Account_Data[[#This Row],[Amount]])</f>
        <v>59.52</v>
      </c>
    </row>
    <row r="480" spans="1:11" x14ac:dyDescent="0.35">
      <c r="A480" s="73">
        <v>46002</v>
      </c>
      <c r="B480" t="s">
        <v>308</v>
      </c>
      <c r="C480" s="3">
        <v>2600</v>
      </c>
      <c r="E480" s="3">
        <v>1491082.75</v>
      </c>
      <c r="F480" t="str">
        <f>TEXT(Account_Data[[#This Row],[Date]],"mmm-yyyy")</f>
        <v>Dec-2025</v>
      </c>
      <c r="G480" t="str">
        <f>IF(Account_Data[[#This Row],[Credit]]&gt;0,"Income","Expense")</f>
        <v>Expense</v>
      </c>
      <c r="H4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0" s="3">
        <f>Account_Data[[#This Row],[Credit]]-Account_Data[[#This Row],[Debit]]</f>
        <v>-2600</v>
      </c>
      <c r="J480" s="7">
        <f>EOMONTH(Account_Data[[#This Row],[Date]],0)</f>
        <v>46022</v>
      </c>
      <c r="K480">
        <f>ABS(Account_Data[[#This Row],[Amount]])</f>
        <v>2600</v>
      </c>
    </row>
    <row r="481" spans="1:11" x14ac:dyDescent="0.35">
      <c r="A481" s="73">
        <v>46003</v>
      </c>
      <c r="B481" t="s">
        <v>309</v>
      </c>
      <c r="C481" s="3">
        <v>240</v>
      </c>
      <c r="E481" s="3">
        <v>1490842.75</v>
      </c>
      <c r="F481" t="str">
        <f>TEXT(Account_Data[[#This Row],[Date]],"mmm-yyyy")</f>
        <v>Dec-2025</v>
      </c>
      <c r="G481" t="str">
        <f>IF(Account_Data[[#This Row],[Credit]]&gt;0,"Income","Expense")</f>
        <v>Expense</v>
      </c>
      <c r="H4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1" s="3">
        <f>Account_Data[[#This Row],[Credit]]-Account_Data[[#This Row],[Debit]]</f>
        <v>-240</v>
      </c>
      <c r="J481" s="7">
        <f>EOMONTH(Account_Data[[#This Row],[Date]],0)</f>
        <v>46022</v>
      </c>
      <c r="K481">
        <f>ABS(Account_Data[[#This Row],[Amount]])</f>
        <v>240</v>
      </c>
    </row>
    <row r="482" spans="1:11" x14ac:dyDescent="0.35">
      <c r="A482" s="73">
        <v>46003</v>
      </c>
      <c r="B482" t="s">
        <v>310</v>
      </c>
      <c r="C482" s="3">
        <v>10000</v>
      </c>
      <c r="E482" s="3">
        <v>1480842.75</v>
      </c>
      <c r="F482" t="str">
        <f>TEXT(Account_Data[[#This Row],[Date]],"mmm-yyyy")</f>
        <v>Dec-2025</v>
      </c>
      <c r="G482" t="str">
        <f>IF(Account_Data[[#This Row],[Credit]]&gt;0,"Income","Expense")</f>
        <v>Expense</v>
      </c>
      <c r="H4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2" s="3">
        <f>Account_Data[[#This Row],[Credit]]-Account_Data[[#This Row],[Debit]]</f>
        <v>-10000</v>
      </c>
      <c r="J482" s="7">
        <f>EOMONTH(Account_Data[[#This Row],[Date]],0)</f>
        <v>46022</v>
      </c>
      <c r="K482">
        <f>ABS(Account_Data[[#This Row],[Amount]])</f>
        <v>10000</v>
      </c>
    </row>
    <row r="483" spans="1:11" x14ac:dyDescent="0.35">
      <c r="A483" s="73">
        <v>46006</v>
      </c>
      <c r="B483" t="s">
        <v>311</v>
      </c>
      <c r="C483" s="3">
        <v>100</v>
      </c>
      <c r="E483" s="3">
        <v>1480742.75</v>
      </c>
      <c r="F483" t="str">
        <f>TEXT(Account_Data[[#This Row],[Date]],"mmm-yyyy")</f>
        <v>Dec-2025</v>
      </c>
      <c r="G483" t="str">
        <f>IF(Account_Data[[#This Row],[Credit]]&gt;0,"Income","Expense")</f>
        <v>Expense</v>
      </c>
      <c r="H4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3" s="3">
        <f>Account_Data[[#This Row],[Credit]]-Account_Data[[#This Row],[Debit]]</f>
        <v>-100</v>
      </c>
      <c r="J483" s="7">
        <f>EOMONTH(Account_Data[[#This Row],[Date]],0)</f>
        <v>46022</v>
      </c>
      <c r="K483">
        <f>ABS(Account_Data[[#This Row],[Amount]])</f>
        <v>100</v>
      </c>
    </row>
    <row r="484" spans="1:11" x14ac:dyDescent="0.35">
      <c r="A484" s="73">
        <v>46006</v>
      </c>
      <c r="B484" t="s">
        <v>310</v>
      </c>
      <c r="C484" s="3">
        <v>25000</v>
      </c>
      <c r="E484" s="3">
        <v>1455742.75</v>
      </c>
      <c r="F484" t="str">
        <f>TEXT(Account_Data[[#This Row],[Date]],"mmm-yyyy")</f>
        <v>Dec-2025</v>
      </c>
      <c r="G484" t="str">
        <f>IF(Account_Data[[#This Row],[Credit]]&gt;0,"Income","Expense")</f>
        <v>Expense</v>
      </c>
      <c r="H4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4" s="3">
        <f>Account_Data[[#This Row],[Credit]]-Account_Data[[#This Row],[Debit]]</f>
        <v>-25000</v>
      </c>
      <c r="J484" s="7">
        <f>EOMONTH(Account_Data[[#This Row],[Date]],0)</f>
        <v>46022</v>
      </c>
      <c r="K484">
        <f>ABS(Account_Data[[#This Row],[Amount]])</f>
        <v>25000</v>
      </c>
    </row>
    <row r="485" spans="1:11" x14ac:dyDescent="0.35">
      <c r="A485" s="73">
        <v>46008</v>
      </c>
      <c r="B485" t="s">
        <v>312</v>
      </c>
      <c r="C485" s="3">
        <v>360</v>
      </c>
      <c r="E485" s="3">
        <v>1455382.75</v>
      </c>
      <c r="F485" t="str">
        <f>TEXT(Account_Data[[#This Row],[Date]],"mmm-yyyy")</f>
        <v>Dec-2025</v>
      </c>
      <c r="G485" t="str">
        <f>IF(Account_Data[[#This Row],[Credit]]&gt;0,"Income","Expense")</f>
        <v>Expense</v>
      </c>
      <c r="H4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5" s="3">
        <f>Account_Data[[#This Row],[Credit]]-Account_Data[[#This Row],[Debit]]</f>
        <v>-360</v>
      </c>
      <c r="J485" s="7">
        <f>EOMONTH(Account_Data[[#This Row],[Date]],0)</f>
        <v>46022</v>
      </c>
      <c r="K485">
        <f>ABS(Account_Data[[#This Row],[Amount]])</f>
        <v>360</v>
      </c>
    </row>
    <row r="486" spans="1:11" x14ac:dyDescent="0.35">
      <c r="A486" s="73">
        <v>46008</v>
      </c>
      <c r="B486" t="s">
        <v>313</v>
      </c>
      <c r="C486" s="3">
        <v>10</v>
      </c>
      <c r="E486" s="3">
        <v>1455372.75</v>
      </c>
      <c r="F486" t="str">
        <f>TEXT(Account_Data[[#This Row],[Date]],"mmm-yyyy")</f>
        <v>Dec-2025</v>
      </c>
      <c r="G486" t="str">
        <f>IF(Account_Data[[#This Row],[Credit]]&gt;0,"Income","Expense")</f>
        <v>Expense</v>
      </c>
      <c r="H4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6" s="3">
        <f>Account_Data[[#This Row],[Credit]]-Account_Data[[#This Row],[Debit]]</f>
        <v>-10</v>
      </c>
      <c r="J486" s="7">
        <f>EOMONTH(Account_Data[[#This Row],[Date]],0)</f>
        <v>46022</v>
      </c>
      <c r="K486">
        <f>ABS(Account_Data[[#This Row],[Amount]])</f>
        <v>10</v>
      </c>
    </row>
    <row r="487" spans="1:11" x14ac:dyDescent="0.35">
      <c r="A487" s="73">
        <v>46009</v>
      </c>
      <c r="B487" t="s">
        <v>310</v>
      </c>
      <c r="C487" s="3">
        <v>50000</v>
      </c>
      <c r="E487" s="3">
        <v>1405372.75</v>
      </c>
      <c r="F487" t="str">
        <f>TEXT(Account_Data[[#This Row],[Date]],"mmm-yyyy")</f>
        <v>Dec-2025</v>
      </c>
      <c r="G487" t="str">
        <f>IF(Account_Data[[#This Row],[Credit]]&gt;0,"Income","Expense")</f>
        <v>Expense</v>
      </c>
      <c r="H4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7" s="3">
        <f>Account_Data[[#This Row],[Credit]]-Account_Data[[#This Row],[Debit]]</f>
        <v>-50000</v>
      </c>
      <c r="J487" s="7">
        <f>EOMONTH(Account_Data[[#This Row],[Date]],0)</f>
        <v>46022</v>
      </c>
      <c r="K487">
        <f>ABS(Account_Data[[#This Row],[Amount]])</f>
        <v>50000</v>
      </c>
    </row>
    <row r="488" spans="1:11" x14ac:dyDescent="0.35">
      <c r="A488" s="73">
        <v>46009</v>
      </c>
      <c r="B488" t="s">
        <v>314</v>
      </c>
      <c r="C488" s="3">
        <v>10</v>
      </c>
      <c r="E488" s="3">
        <v>1405362.75</v>
      </c>
      <c r="F488" t="str">
        <f>TEXT(Account_Data[[#This Row],[Date]],"mmm-yyyy")</f>
        <v>Dec-2025</v>
      </c>
      <c r="G488" t="str">
        <f>IF(Account_Data[[#This Row],[Credit]]&gt;0,"Income","Expense")</f>
        <v>Expense</v>
      </c>
      <c r="H4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8" s="3">
        <f>Account_Data[[#This Row],[Credit]]-Account_Data[[#This Row],[Debit]]</f>
        <v>-10</v>
      </c>
      <c r="J488" s="7">
        <f>EOMONTH(Account_Data[[#This Row],[Date]],0)</f>
        <v>46022</v>
      </c>
      <c r="K488">
        <f>ABS(Account_Data[[#This Row],[Amount]])</f>
        <v>10</v>
      </c>
    </row>
    <row r="489" spans="1:11" x14ac:dyDescent="0.35">
      <c r="A489" s="73">
        <v>46010</v>
      </c>
      <c r="B489" t="s">
        <v>315</v>
      </c>
      <c r="C489" s="3">
        <v>300</v>
      </c>
      <c r="E489" s="3">
        <v>1405062.75</v>
      </c>
      <c r="F489" t="str">
        <f>TEXT(Account_Data[[#This Row],[Date]],"mmm-yyyy")</f>
        <v>Dec-2025</v>
      </c>
      <c r="G489" t="str">
        <f>IF(Account_Data[[#This Row],[Credit]]&gt;0,"Income","Expense")</f>
        <v>Expense</v>
      </c>
      <c r="H4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89" s="3">
        <f>Account_Data[[#This Row],[Credit]]-Account_Data[[#This Row],[Debit]]</f>
        <v>-300</v>
      </c>
      <c r="J489" s="7">
        <f>EOMONTH(Account_Data[[#This Row],[Date]],0)</f>
        <v>46022</v>
      </c>
      <c r="K489">
        <f>ABS(Account_Data[[#This Row],[Amount]])</f>
        <v>300</v>
      </c>
    </row>
    <row r="490" spans="1:11" x14ac:dyDescent="0.35">
      <c r="A490" s="73">
        <v>46010</v>
      </c>
      <c r="B490" t="s">
        <v>316</v>
      </c>
      <c r="C490" s="3">
        <v>370</v>
      </c>
      <c r="E490" s="3">
        <v>1404692.75</v>
      </c>
      <c r="F490" t="str">
        <f>TEXT(Account_Data[[#This Row],[Date]],"mmm-yyyy")</f>
        <v>Dec-2025</v>
      </c>
      <c r="G490" t="str">
        <f>IF(Account_Data[[#This Row],[Credit]]&gt;0,"Income","Expense")</f>
        <v>Expense</v>
      </c>
      <c r="H4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0" s="3">
        <f>Account_Data[[#This Row],[Credit]]-Account_Data[[#This Row],[Debit]]</f>
        <v>-370</v>
      </c>
      <c r="J490" s="7">
        <f>EOMONTH(Account_Data[[#This Row],[Date]],0)</f>
        <v>46022</v>
      </c>
      <c r="K490">
        <f>ABS(Account_Data[[#This Row],[Amount]])</f>
        <v>370</v>
      </c>
    </row>
    <row r="491" spans="1:11" x14ac:dyDescent="0.35">
      <c r="A491" s="73">
        <v>46010</v>
      </c>
      <c r="B491" t="s">
        <v>317</v>
      </c>
      <c r="C491" s="3">
        <v>135</v>
      </c>
      <c r="E491" s="3">
        <v>1404557.75</v>
      </c>
      <c r="F491" t="str">
        <f>TEXT(Account_Data[[#This Row],[Date]],"mmm-yyyy")</f>
        <v>Dec-2025</v>
      </c>
      <c r="G491" t="str">
        <f>IF(Account_Data[[#This Row],[Credit]]&gt;0,"Income","Expense")</f>
        <v>Expense</v>
      </c>
      <c r="H4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1" s="3">
        <f>Account_Data[[#This Row],[Credit]]-Account_Data[[#This Row],[Debit]]</f>
        <v>-135</v>
      </c>
      <c r="J491" s="7">
        <f>EOMONTH(Account_Data[[#This Row],[Date]],0)</f>
        <v>46022</v>
      </c>
      <c r="K491">
        <f>ABS(Account_Data[[#This Row],[Amount]])</f>
        <v>135</v>
      </c>
    </row>
    <row r="492" spans="1:11" x14ac:dyDescent="0.35">
      <c r="A492" s="73">
        <v>46010</v>
      </c>
      <c r="B492" t="s">
        <v>317</v>
      </c>
      <c r="C492" s="3">
        <v>280</v>
      </c>
      <c r="E492" s="3">
        <v>1404277.75</v>
      </c>
      <c r="F492" t="str">
        <f>TEXT(Account_Data[[#This Row],[Date]],"mmm-yyyy")</f>
        <v>Dec-2025</v>
      </c>
      <c r="G492" t="str">
        <f>IF(Account_Data[[#This Row],[Credit]]&gt;0,"Income","Expense")</f>
        <v>Expense</v>
      </c>
      <c r="H4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2" s="3">
        <f>Account_Data[[#This Row],[Credit]]-Account_Data[[#This Row],[Debit]]</f>
        <v>-280</v>
      </c>
      <c r="J492" s="7">
        <f>EOMONTH(Account_Data[[#This Row],[Date]],0)</f>
        <v>46022</v>
      </c>
      <c r="K492">
        <f>ABS(Account_Data[[#This Row],[Amount]])</f>
        <v>280</v>
      </c>
    </row>
    <row r="493" spans="1:11" x14ac:dyDescent="0.35">
      <c r="A493" s="73">
        <v>46010</v>
      </c>
      <c r="B493" t="s">
        <v>318</v>
      </c>
      <c r="C493" s="3">
        <v>10</v>
      </c>
      <c r="E493" s="3">
        <v>1404267.75</v>
      </c>
      <c r="F493" t="str">
        <f>TEXT(Account_Data[[#This Row],[Date]],"mmm-yyyy")</f>
        <v>Dec-2025</v>
      </c>
      <c r="G493" t="str">
        <f>IF(Account_Data[[#This Row],[Credit]]&gt;0,"Income","Expense")</f>
        <v>Expense</v>
      </c>
      <c r="H4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3" s="3">
        <f>Account_Data[[#This Row],[Credit]]-Account_Data[[#This Row],[Debit]]</f>
        <v>-10</v>
      </c>
      <c r="J493" s="7">
        <f>EOMONTH(Account_Data[[#This Row],[Date]],0)</f>
        <v>46022</v>
      </c>
      <c r="K493">
        <f>ABS(Account_Data[[#This Row],[Amount]])</f>
        <v>10</v>
      </c>
    </row>
    <row r="494" spans="1:11" x14ac:dyDescent="0.35">
      <c r="A494" s="73">
        <v>46010</v>
      </c>
      <c r="B494" t="s">
        <v>153</v>
      </c>
      <c r="C494" s="3">
        <v>10</v>
      </c>
      <c r="E494" s="3">
        <v>1404257.75</v>
      </c>
      <c r="F494" t="str">
        <f>TEXT(Account_Data[[#This Row],[Date]],"mmm-yyyy")</f>
        <v>Dec-2025</v>
      </c>
      <c r="G494" t="str">
        <f>IF(Account_Data[[#This Row],[Credit]]&gt;0,"Income","Expense")</f>
        <v>Expense</v>
      </c>
      <c r="H4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4" s="3">
        <f>Account_Data[[#This Row],[Credit]]-Account_Data[[#This Row],[Debit]]</f>
        <v>-10</v>
      </c>
      <c r="J494" s="7">
        <f>EOMONTH(Account_Data[[#This Row],[Date]],0)</f>
        <v>46022</v>
      </c>
      <c r="K494">
        <f>ABS(Account_Data[[#This Row],[Amount]])</f>
        <v>10</v>
      </c>
    </row>
    <row r="495" spans="1:11" x14ac:dyDescent="0.35">
      <c r="A495" s="73">
        <v>46011</v>
      </c>
      <c r="B495" t="s">
        <v>310</v>
      </c>
      <c r="C495" s="3">
        <v>15000</v>
      </c>
      <c r="E495" s="3">
        <v>1389257.75</v>
      </c>
      <c r="F495" t="str">
        <f>TEXT(Account_Data[[#This Row],[Date]],"mmm-yyyy")</f>
        <v>Dec-2025</v>
      </c>
      <c r="G495" t="str">
        <f>IF(Account_Data[[#This Row],[Credit]]&gt;0,"Income","Expense")</f>
        <v>Expense</v>
      </c>
      <c r="H4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5" s="3">
        <f>Account_Data[[#This Row],[Credit]]-Account_Data[[#This Row],[Debit]]</f>
        <v>-15000</v>
      </c>
      <c r="J495" s="7">
        <f>EOMONTH(Account_Data[[#This Row],[Date]],0)</f>
        <v>46022</v>
      </c>
      <c r="K495">
        <f>ABS(Account_Data[[#This Row],[Amount]])</f>
        <v>15000</v>
      </c>
    </row>
    <row r="496" spans="1:11" x14ac:dyDescent="0.35">
      <c r="A496" s="73">
        <v>46011</v>
      </c>
      <c r="B496" t="s">
        <v>319</v>
      </c>
      <c r="C496" s="3">
        <v>2000</v>
      </c>
      <c r="E496" s="3">
        <v>1387257.75</v>
      </c>
      <c r="F496" t="str">
        <f>TEXT(Account_Data[[#This Row],[Date]],"mmm-yyyy")</f>
        <v>Dec-2025</v>
      </c>
      <c r="G496" t="str">
        <f>IF(Account_Data[[#This Row],[Credit]]&gt;0,"Income","Expense")</f>
        <v>Expense</v>
      </c>
      <c r="H4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6" s="3">
        <f>Account_Data[[#This Row],[Credit]]-Account_Data[[#This Row],[Debit]]</f>
        <v>-2000</v>
      </c>
      <c r="J496" s="7">
        <f>EOMONTH(Account_Data[[#This Row],[Date]],0)</f>
        <v>46022</v>
      </c>
      <c r="K496">
        <f>ABS(Account_Data[[#This Row],[Amount]])</f>
        <v>2000</v>
      </c>
    </row>
    <row r="497" spans="1:11" x14ac:dyDescent="0.35">
      <c r="A497" s="73">
        <v>46011</v>
      </c>
      <c r="B497" t="s">
        <v>314</v>
      </c>
      <c r="C497" s="3">
        <v>10</v>
      </c>
      <c r="E497" s="3">
        <v>1387247.75</v>
      </c>
      <c r="F497" t="str">
        <f>TEXT(Account_Data[[#This Row],[Date]],"mmm-yyyy")</f>
        <v>Dec-2025</v>
      </c>
      <c r="G497" t="str">
        <f>IF(Account_Data[[#This Row],[Credit]]&gt;0,"Income","Expense")</f>
        <v>Expense</v>
      </c>
      <c r="H4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7" s="3">
        <f>Account_Data[[#This Row],[Credit]]-Account_Data[[#This Row],[Debit]]</f>
        <v>-10</v>
      </c>
      <c r="J497" s="7">
        <f>EOMONTH(Account_Data[[#This Row],[Date]],0)</f>
        <v>46022</v>
      </c>
      <c r="K497">
        <f>ABS(Account_Data[[#This Row],[Amount]])</f>
        <v>10</v>
      </c>
    </row>
    <row r="498" spans="1:11" x14ac:dyDescent="0.35">
      <c r="A498" s="73">
        <v>46012</v>
      </c>
      <c r="B498" t="s">
        <v>320</v>
      </c>
      <c r="C498" s="3">
        <v>300</v>
      </c>
      <c r="E498" s="3">
        <v>1386947.75</v>
      </c>
      <c r="F498" t="str">
        <f>TEXT(Account_Data[[#This Row],[Date]],"mmm-yyyy")</f>
        <v>Dec-2025</v>
      </c>
      <c r="G498" t="str">
        <f>IF(Account_Data[[#This Row],[Credit]]&gt;0,"Income","Expense")</f>
        <v>Expense</v>
      </c>
      <c r="H4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8" s="3">
        <f>Account_Data[[#This Row],[Credit]]-Account_Data[[#This Row],[Debit]]</f>
        <v>-300</v>
      </c>
      <c r="J498" s="7">
        <f>EOMONTH(Account_Data[[#This Row],[Date]],0)</f>
        <v>46022</v>
      </c>
      <c r="K498">
        <f>ABS(Account_Data[[#This Row],[Amount]])</f>
        <v>300</v>
      </c>
    </row>
    <row r="499" spans="1:11" x14ac:dyDescent="0.35">
      <c r="A499" s="73">
        <v>46012</v>
      </c>
      <c r="B499" t="s">
        <v>309</v>
      </c>
      <c r="C499" s="3">
        <v>240</v>
      </c>
      <c r="E499" s="3">
        <v>1386707.75</v>
      </c>
      <c r="F499" t="str">
        <f>TEXT(Account_Data[[#This Row],[Date]],"mmm-yyyy")</f>
        <v>Dec-2025</v>
      </c>
      <c r="G499" t="str">
        <f>IF(Account_Data[[#This Row],[Credit]]&gt;0,"Income","Expense")</f>
        <v>Expense</v>
      </c>
      <c r="H4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499" s="3">
        <f>Account_Data[[#This Row],[Credit]]-Account_Data[[#This Row],[Debit]]</f>
        <v>-240</v>
      </c>
      <c r="J499" s="7">
        <f>EOMONTH(Account_Data[[#This Row],[Date]],0)</f>
        <v>46022</v>
      </c>
      <c r="K499">
        <f>ABS(Account_Data[[#This Row],[Amount]])</f>
        <v>240</v>
      </c>
    </row>
    <row r="500" spans="1:11" x14ac:dyDescent="0.35">
      <c r="A500" s="73">
        <v>46012</v>
      </c>
      <c r="B500" t="s">
        <v>321</v>
      </c>
      <c r="C500" s="3">
        <v>190</v>
      </c>
      <c r="E500" s="3">
        <v>1386517.75</v>
      </c>
      <c r="F500" t="str">
        <f>TEXT(Account_Data[[#This Row],[Date]],"mmm-yyyy")</f>
        <v>Dec-2025</v>
      </c>
      <c r="G500" t="str">
        <f>IF(Account_Data[[#This Row],[Credit]]&gt;0,"Income","Expense")</f>
        <v>Expense</v>
      </c>
      <c r="H5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0" s="3">
        <f>Account_Data[[#This Row],[Credit]]-Account_Data[[#This Row],[Debit]]</f>
        <v>-190</v>
      </c>
      <c r="J500" s="7">
        <f>EOMONTH(Account_Data[[#This Row],[Date]],0)</f>
        <v>46022</v>
      </c>
      <c r="K500">
        <f>ABS(Account_Data[[#This Row],[Amount]])</f>
        <v>190</v>
      </c>
    </row>
    <row r="501" spans="1:11" x14ac:dyDescent="0.35">
      <c r="A501" s="73">
        <v>46013</v>
      </c>
      <c r="B501" t="s">
        <v>153</v>
      </c>
      <c r="C501" s="3">
        <v>11</v>
      </c>
      <c r="E501" s="3">
        <v>1386506.75</v>
      </c>
      <c r="F501" t="str">
        <f>TEXT(Account_Data[[#This Row],[Date]],"mmm-yyyy")</f>
        <v>Dec-2025</v>
      </c>
      <c r="G501" t="str">
        <f>IF(Account_Data[[#This Row],[Credit]]&gt;0,"Income","Expense")</f>
        <v>Expense</v>
      </c>
      <c r="H5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1" s="3">
        <f>Account_Data[[#This Row],[Credit]]-Account_Data[[#This Row],[Debit]]</f>
        <v>-11</v>
      </c>
      <c r="J501" s="7">
        <f>EOMONTH(Account_Data[[#This Row],[Date]],0)</f>
        <v>46022</v>
      </c>
      <c r="K501">
        <f>ABS(Account_Data[[#This Row],[Amount]])</f>
        <v>11</v>
      </c>
    </row>
    <row r="502" spans="1:11" x14ac:dyDescent="0.35">
      <c r="A502" s="73">
        <v>46013</v>
      </c>
      <c r="B502" t="s">
        <v>322</v>
      </c>
      <c r="C502" s="3">
        <v>4300</v>
      </c>
      <c r="E502" s="3">
        <v>1382206.75</v>
      </c>
      <c r="F502" t="str">
        <f>TEXT(Account_Data[[#This Row],[Date]],"mmm-yyyy")</f>
        <v>Dec-2025</v>
      </c>
      <c r="G502" t="str">
        <f>IF(Account_Data[[#This Row],[Credit]]&gt;0,"Income","Expense")</f>
        <v>Expense</v>
      </c>
      <c r="H5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2" s="3">
        <f>Account_Data[[#This Row],[Credit]]-Account_Data[[#This Row],[Debit]]</f>
        <v>-4300</v>
      </c>
      <c r="J502" s="7">
        <f>EOMONTH(Account_Data[[#This Row],[Date]],0)</f>
        <v>46022</v>
      </c>
      <c r="K502">
        <f>ABS(Account_Data[[#This Row],[Amount]])</f>
        <v>4300</v>
      </c>
    </row>
    <row r="503" spans="1:11" x14ac:dyDescent="0.35">
      <c r="A503" s="73">
        <v>46013</v>
      </c>
      <c r="B503" t="s">
        <v>314</v>
      </c>
      <c r="C503" s="3">
        <v>10</v>
      </c>
      <c r="E503" s="3">
        <v>1382196.75</v>
      </c>
      <c r="F503" t="str">
        <f>TEXT(Account_Data[[#This Row],[Date]],"mmm-yyyy")</f>
        <v>Dec-2025</v>
      </c>
      <c r="G503" t="str">
        <f>IF(Account_Data[[#This Row],[Credit]]&gt;0,"Income","Expense")</f>
        <v>Expense</v>
      </c>
      <c r="H5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3" s="3">
        <f>Account_Data[[#This Row],[Credit]]-Account_Data[[#This Row],[Debit]]</f>
        <v>-10</v>
      </c>
      <c r="J503" s="7">
        <f>EOMONTH(Account_Data[[#This Row],[Date]],0)</f>
        <v>46022</v>
      </c>
      <c r="K503">
        <f>ABS(Account_Data[[#This Row],[Amount]])</f>
        <v>10</v>
      </c>
    </row>
    <row r="504" spans="1:11" x14ac:dyDescent="0.35">
      <c r="A504" s="73">
        <v>46014</v>
      </c>
      <c r="B504" t="s">
        <v>310</v>
      </c>
      <c r="C504" s="3">
        <v>13150</v>
      </c>
      <c r="E504" s="3">
        <v>1369046.75</v>
      </c>
      <c r="F504" t="str">
        <f>TEXT(Account_Data[[#This Row],[Date]],"mmm-yyyy")</f>
        <v>Dec-2025</v>
      </c>
      <c r="G504" t="str">
        <f>IF(Account_Data[[#This Row],[Credit]]&gt;0,"Income","Expense")</f>
        <v>Expense</v>
      </c>
      <c r="H5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4" s="3">
        <f>Account_Data[[#This Row],[Credit]]-Account_Data[[#This Row],[Debit]]</f>
        <v>-13150</v>
      </c>
      <c r="J504" s="7">
        <f>EOMONTH(Account_Data[[#This Row],[Date]],0)</f>
        <v>46022</v>
      </c>
      <c r="K504">
        <f>ABS(Account_Data[[#This Row],[Amount]])</f>
        <v>13150</v>
      </c>
    </row>
    <row r="505" spans="1:11" x14ac:dyDescent="0.35">
      <c r="A505" s="73">
        <v>46014</v>
      </c>
      <c r="B505" t="s">
        <v>313</v>
      </c>
      <c r="C505" s="3">
        <v>10</v>
      </c>
      <c r="E505" s="3">
        <v>1369036.75</v>
      </c>
      <c r="F505" t="str">
        <f>TEXT(Account_Data[[#This Row],[Date]],"mmm-yyyy")</f>
        <v>Dec-2025</v>
      </c>
      <c r="G505" t="str">
        <f>IF(Account_Data[[#This Row],[Credit]]&gt;0,"Income","Expense")</f>
        <v>Expense</v>
      </c>
      <c r="H5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5" s="3">
        <f>Account_Data[[#This Row],[Credit]]-Account_Data[[#This Row],[Debit]]</f>
        <v>-10</v>
      </c>
      <c r="J505" s="7">
        <f>EOMONTH(Account_Data[[#This Row],[Date]],0)</f>
        <v>46022</v>
      </c>
      <c r="K505">
        <f>ABS(Account_Data[[#This Row],[Amount]])</f>
        <v>10</v>
      </c>
    </row>
    <row r="506" spans="1:11" x14ac:dyDescent="0.35">
      <c r="A506" s="73">
        <v>46015</v>
      </c>
      <c r="B506" t="s">
        <v>323</v>
      </c>
      <c r="C506" s="3">
        <v>4250</v>
      </c>
      <c r="E506" s="3">
        <v>1364786.75</v>
      </c>
      <c r="F506" t="str">
        <f>TEXT(Account_Data[[#This Row],[Date]],"mmm-yyyy")</f>
        <v>Dec-2025</v>
      </c>
      <c r="G506" t="str">
        <f>IF(Account_Data[[#This Row],[Credit]]&gt;0,"Income","Expense")</f>
        <v>Expense</v>
      </c>
      <c r="H5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6" s="3">
        <f>Account_Data[[#This Row],[Credit]]-Account_Data[[#This Row],[Debit]]</f>
        <v>-4250</v>
      </c>
      <c r="J506" s="7">
        <f>EOMONTH(Account_Data[[#This Row],[Date]],0)</f>
        <v>46022</v>
      </c>
      <c r="K506">
        <f>ABS(Account_Data[[#This Row],[Amount]])</f>
        <v>4250</v>
      </c>
    </row>
    <row r="507" spans="1:11" x14ac:dyDescent="0.35">
      <c r="A507" s="73">
        <v>46015</v>
      </c>
      <c r="B507" t="s">
        <v>153</v>
      </c>
      <c r="C507" s="3">
        <v>11</v>
      </c>
      <c r="E507" s="3">
        <v>1364775.75</v>
      </c>
      <c r="F507" t="str">
        <f>TEXT(Account_Data[[#This Row],[Date]],"mmm-yyyy")</f>
        <v>Dec-2025</v>
      </c>
      <c r="G507" t="str">
        <f>IF(Account_Data[[#This Row],[Credit]]&gt;0,"Income","Expense")</f>
        <v>Expense</v>
      </c>
      <c r="H5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7" s="3">
        <f>Account_Data[[#This Row],[Credit]]-Account_Data[[#This Row],[Debit]]</f>
        <v>-11</v>
      </c>
      <c r="J507" s="7">
        <f>EOMONTH(Account_Data[[#This Row],[Date]],0)</f>
        <v>46022</v>
      </c>
      <c r="K507">
        <f>ABS(Account_Data[[#This Row],[Amount]])</f>
        <v>11</v>
      </c>
    </row>
    <row r="508" spans="1:11" x14ac:dyDescent="0.35">
      <c r="A508" s="73">
        <v>46015</v>
      </c>
      <c r="B508" t="s">
        <v>255</v>
      </c>
      <c r="C508" s="3">
        <v>1225</v>
      </c>
      <c r="E508" s="3">
        <v>1363550.75</v>
      </c>
      <c r="F508" t="str">
        <f>TEXT(Account_Data[[#This Row],[Date]],"mmm-yyyy")</f>
        <v>Dec-2025</v>
      </c>
      <c r="G508" t="str">
        <f>IF(Account_Data[[#This Row],[Credit]]&gt;0,"Income","Expense")</f>
        <v>Expense</v>
      </c>
      <c r="H5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8" s="3">
        <f>Account_Data[[#This Row],[Credit]]-Account_Data[[#This Row],[Debit]]</f>
        <v>-1225</v>
      </c>
      <c r="J508" s="7">
        <f>EOMONTH(Account_Data[[#This Row],[Date]],0)</f>
        <v>46022</v>
      </c>
      <c r="K508">
        <f>ABS(Account_Data[[#This Row],[Amount]])</f>
        <v>1225</v>
      </c>
    </row>
    <row r="509" spans="1:11" x14ac:dyDescent="0.35">
      <c r="A509" s="73">
        <v>46016</v>
      </c>
      <c r="B509" t="s">
        <v>242</v>
      </c>
      <c r="C509" s="3">
        <v>380</v>
      </c>
      <c r="E509" s="3">
        <v>1363170.75</v>
      </c>
      <c r="F509" t="str">
        <f>TEXT(Account_Data[[#This Row],[Date]],"mmm-yyyy")</f>
        <v>Dec-2025</v>
      </c>
      <c r="G509" t="str">
        <f>IF(Account_Data[[#This Row],[Credit]]&gt;0,"Income","Expense")</f>
        <v>Expense</v>
      </c>
      <c r="H5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09" s="3">
        <f>Account_Data[[#This Row],[Credit]]-Account_Data[[#This Row],[Debit]]</f>
        <v>-380</v>
      </c>
      <c r="J509" s="7">
        <f>EOMONTH(Account_Data[[#This Row],[Date]],0)</f>
        <v>46022</v>
      </c>
      <c r="K509">
        <f>ABS(Account_Data[[#This Row],[Amount]])</f>
        <v>380</v>
      </c>
    </row>
    <row r="510" spans="1:11" x14ac:dyDescent="0.35">
      <c r="A510" s="73">
        <v>46016</v>
      </c>
      <c r="B510" t="s">
        <v>153</v>
      </c>
      <c r="C510" s="3">
        <v>10</v>
      </c>
      <c r="E510" s="3">
        <v>1363160.75</v>
      </c>
      <c r="F510" t="str">
        <f>TEXT(Account_Data[[#This Row],[Date]],"mmm-yyyy")</f>
        <v>Dec-2025</v>
      </c>
      <c r="G510" t="str">
        <f>IF(Account_Data[[#This Row],[Credit]]&gt;0,"Income","Expense")</f>
        <v>Expense</v>
      </c>
      <c r="H5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0" s="3">
        <f>Account_Data[[#This Row],[Credit]]-Account_Data[[#This Row],[Debit]]</f>
        <v>-10</v>
      </c>
      <c r="J510" s="7">
        <f>EOMONTH(Account_Data[[#This Row],[Date]],0)</f>
        <v>46022</v>
      </c>
      <c r="K510">
        <f>ABS(Account_Data[[#This Row],[Amount]])</f>
        <v>10</v>
      </c>
    </row>
    <row r="511" spans="1:11" x14ac:dyDescent="0.35">
      <c r="A511" s="73">
        <v>46016</v>
      </c>
      <c r="B511" t="s">
        <v>313</v>
      </c>
      <c r="C511" s="3">
        <v>10</v>
      </c>
      <c r="E511" s="3">
        <v>1363150.75</v>
      </c>
      <c r="F511" t="str">
        <f>TEXT(Account_Data[[#This Row],[Date]],"mmm-yyyy")</f>
        <v>Dec-2025</v>
      </c>
      <c r="G511" t="str">
        <f>IF(Account_Data[[#This Row],[Credit]]&gt;0,"Income","Expense")</f>
        <v>Expense</v>
      </c>
      <c r="H5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1" s="3">
        <f>Account_Data[[#This Row],[Credit]]-Account_Data[[#This Row],[Debit]]</f>
        <v>-10</v>
      </c>
      <c r="J511" s="7">
        <f>EOMONTH(Account_Data[[#This Row],[Date]],0)</f>
        <v>46022</v>
      </c>
      <c r="K511">
        <f>ABS(Account_Data[[#This Row],[Amount]])</f>
        <v>10</v>
      </c>
    </row>
    <row r="512" spans="1:11" x14ac:dyDescent="0.35">
      <c r="A512" s="73">
        <v>46016</v>
      </c>
      <c r="B512" t="s">
        <v>115</v>
      </c>
      <c r="D512" s="3">
        <v>2842</v>
      </c>
      <c r="E512" s="3">
        <v>1365992.75</v>
      </c>
      <c r="F512" t="str">
        <f>TEXT(Account_Data[[#This Row],[Date]],"mmm-yyyy")</f>
        <v>Dec-2025</v>
      </c>
      <c r="G512" t="str">
        <f>IF(Account_Data[[#This Row],[Credit]]&gt;0,"Income","Expense")</f>
        <v>Income</v>
      </c>
      <c r="H5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512" s="3">
        <f>Account_Data[[#This Row],[Credit]]-Account_Data[[#This Row],[Debit]]</f>
        <v>2842</v>
      </c>
      <c r="J512" s="7">
        <f>EOMONTH(Account_Data[[#This Row],[Date]],0)</f>
        <v>46022</v>
      </c>
      <c r="K512">
        <f>ABS(Account_Data[[#This Row],[Amount]])</f>
        <v>2842</v>
      </c>
    </row>
    <row r="513" spans="1:11" x14ac:dyDescent="0.35">
      <c r="A513" s="73">
        <v>46017</v>
      </c>
      <c r="B513" t="s">
        <v>153</v>
      </c>
      <c r="C513" s="3">
        <v>10</v>
      </c>
      <c r="E513" s="3">
        <v>1365982.75</v>
      </c>
      <c r="F513" t="str">
        <f>TEXT(Account_Data[[#This Row],[Date]],"mmm-yyyy")</f>
        <v>Dec-2025</v>
      </c>
      <c r="G513" t="str">
        <f>IF(Account_Data[[#This Row],[Credit]]&gt;0,"Income","Expense")</f>
        <v>Expense</v>
      </c>
      <c r="H5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3" s="3">
        <f>Account_Data[[#This Row],[Credit]]-Account_Data[[#This Row],[Debit]]</f>
        <v>-10</v>
      </c>
      <c r="J513" s="7">
        <f>EOMONTH(Account_Data[[#This Row],[Date]],0)</f>
        <v>46022</v>
      </c>
      <c r="K513">
        <f>ABS(Account_Data[[#This Row],[Amount]])</f>
        <v>10</v>
      </c>
    </row>
    <row r="514" spans="1:11" x14ac:dyDescent="0.35">
      <c r="A514" s="73">
        <v>46017</v>
      </c>
      <c r="B514" t="s">
        <v>324</v>
      </c>
      <c r="C514" s="3">
        <v>5270</v>
      </c>
      <c r="E514" s="3">
        <v>1360712.75</v>
      </c>
      <c r="F514" t="str">
        <f>TEXT(Account_Data[[#This Row],[Date]],"mmm-yyyy")</f>
        <v>Dec-2025</v>
      </c>
      <c r="G514" t="str">
        <f>IF(Account_Data[[#This Row],[Credit]]&gt;0,"Income","Expense")</f>
        <v>Expense</v>
      </c>
      <c r="H5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4" s="3">
        <f>Account_Data[[#This Row],[Credit]]-Account_Data[[#This Row],[Debit]]</f>
        <v>-5270</v>
      </c>
      <c r="J514" s="7">
        <f>EOMONTH(Account_Data[[#This Row],[Date]],0)</f>
        <v>46022</v>
      </c>
      <c r="K514">
        <f>ABS(Account_Data[[#This Row],[Amount]])</f>
        <v>5270</v>
      </c>
    </row>
    <row r="515" spans="1:11" x14ac:dyDescent="0.35">
      <c r="A515" s="73">
        <v>46017</v>
      </c>
      <c r="B515" t="s">
        <v>325</v>
      </c>
      <c r="C515" s="3">
        <v>2625</v>
      </c>
      <c r="E515" s="3">
        <v>1358087.75</v>
      </c>
      <c r="F515" t="str">
        <f>TEXT(Account_Data[[#This Row],[Date]],"mmm-yyyy")</f>
        <v>Dec-2025</v>
      </c>
      <c r="G515" t="str">
        <f>IF(Account_Data[[#This Row],[Credit]]&gt;0,"Income","Expense")</f>
        <v>Expense</v>
      </c>
      <c r="H5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5" s="3">
        <f>Account_Data[[#This Row],[Credit]]-Account_Data[[#This Row],[Debit]]</f>
        <v>-2625</v>
      </c>
      <c r="J515" s="7">
        <f>EOMONTH(Account_Data[[#This Row],[Date]],0)</f>
        <v>46022</v>
      </c>
      <c r="K515">
        <f>ABS(Account_Data[[#This Row],[Amount]])</f>
        <v>2625</v>
      </c>
    </row>
    <row r="516" spans="1:11" x14ac:dyDescent="0.35">
      <c r="A516" s="73">
        <v>46017</v>
      </c>
      <c r="B516" t="s">
        <v>326</v>
      </c>
      <c r="C516" s="3">
        <v>1000</v>
      </c>
      <c r="E516" s="3">
        <v>1357087.75</v>
      </c>
      <c r="F516" t="str">
        <f>TEXT(Account_Data[[#This Row],[Date]],"mmm-yyyy")</f>
        <v>Dec-2025</v>
      </c>
      <c r="G516" t="str">
        <f>IF(Account_Data[[#This Row],[Credit]]&gt;0,"Income","Expense")</f>
        <v>Expense</v>
      </c>
      <c r="H5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6" s="3">
        <f>Account_Data[[#This Row],[Credit]]-Account_Data[[#This Row],[Debit]]</f>
        <v>-1000</v>
      </c>
      <c r="J516" s="7">
        <f>EOMONTH(Account_Data[[#This Row],[Date]],0)</f>
        <v>46022</v>
      </c>
      <c r="K516">
        <f>ABS(Account_Data[[#This Row],[Amount]])</f>
        <v>1000</v>
      </c>
    </row>
    <row r="517" spans="1:11" x14ac:dyDescent="0.35">
      <c r="A517" s="73">
        <v>46017</v>
      </c>
      <c r="B517" t="s">
        <v>327</v>
      </c>
      <c r="C517" s="3">
        <v>10</v>
      </c>
      <c r="E517" s="3">
        <v>1357077.75</v>
      </c>
      <c r="F517" t="str">
        <f>TEXT(Account_Data[[#This Row],[Date]],"mmm-yyyy")</f>
        <v>Dec-2025</v>
      </c>
      <c r="G517" t="str">
        <f>IF(Account_Data[[#This Row],[Credit]]&gt;0,"Income","Expense")</f>
        <v>Expense</v>
      </c>
      <c r="H5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7" s="3">
        <f>Account_Data[[#This Row],[Credit]]-Account_Data[[#This Row],[Debit]]</f>
        <v>-10</v>
      </c>
      <c r="J517" s="7">
        <f>EOMONTH(Account_Data[[#This Row],[Date]],0)</f>
        <v>46022</v>
      </c>
      <c r="K517">
        <f>ABS(Account_Data[[#This Row],[Amount]])</f>
        <v>10</v>
      </c>
    </row>
    <row r="518" spans="1:11" x14ac:dyDescent="0.35">
      <c r="A518" s="73">
        <v>46018</v>
      </c>
      <c r="B518" t="s">
        <v>328</v>
      </c>
      <c r="C518" s="3">
        <v>10</v>
      </c>
      <c r="E518" s="3">
        <v>1357067.75</v>
      </c>
      <c r="F518" t="str">
        <f>TEXT(Account_Data[[#This Row],[Date]],"mmm-yyyy")</f>
        <v>Dec-2025</v>
      </c>
      <c r="G518" t="str">
        <f>IF(Account_Data[[#This Row],[Credit]]&gt;0,"Income","Expense")</f>
        <v>Expense</v>
      </c>
      <c r="H5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8" s="3">
        <f>Account_Data[[#This Row],[Credit]]-Account_Data[[#This Row],[Debit]]</f>
        <v>-10</v>
      </c>
      <c r="J518" s="7">
        <f>EOMONTH(Account_Data[[#This Row],[Date]],0)</f>
        <v>46022</v>
      </c>
      <c r="K518">
        <f>ABS(Account_Data[[#This Row],[Amount]])</f>
        <v>10</v>
      </c>
    </row>
    <row r="519" spans="1:11" x14ac:dyDescent="0.35">
      <c r="A519" s="73">
        <v>46018</v>
      </c>
      <c r="B519" t="s">
        <v>321</v>
      </c>
      <c r="C519" s="3">
        <v>300</v>
      </c>
      <c r="E519" s="3">
        <v>1356767.75</v>
      </c>
      <c r="F519" t="str">
        <f>TEXT(Account_Data[[#This Row],[Date]],"mmm-yyyy")</f>
        <v>Dec-2025</v>
      </c>
      <c r="G519" t="str">
        <f>IF(Account_Data[[#This Row],[Credit]]&gt;0,"Income","Expense")</f>
        <v>Expense</v>
      </c>
      <c r="H5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19" s="3">
        <f>Account_Data[[#This Row],[Credit]]-Account_Data[[#This Row],[Debit]]</f>
        <v>-300</v>
      </c>
      <c r="J519" s="7">
        <f>EOMONTH(Account_Data[[#This Row],[Date]],0)</f>
        <v>46022</v>
      </c>
      <c r="K519">
        <f>ABS(Account_Data[[#This Row],[Amount]])</f>
        <v>300</v>
      </c>
    </row>
    <row r="520" spans="1:11" x14ac:dyDescent="0.35">
      <c r="A520" s="73">
        <v>46020</v>
      </c>
      <c r="B520" t="s">
        <v>99</v>
      </c>
      <c r="C520" s="3">
        <v>1000</v>
      </c>
      <c r="E520" s="3">
        <v>1355767.75</v>
      </c>
      <c r="F520" t="str">
        <f>TEXT(Account_Data[[#This Row],[Date]],"mmm-yyyy")</f>
        <v>Dec-2025</v>
      </c>
      <c r="G520" t="str">
        <f>IF(Account_Data[[#This Row],[Credit]]&gt;0,"Income","Expense")</f>
        <v>Expense</v>
      </c>
      <c r="H5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520" s="3">
        <f>Account_Data[[#This Row],[Credit]]-Account_Data[[#This Row],[Debit]]</f>
        <v>-1000</v>
      </c>
      <c r="J520" s="7">
        <f>EOMONTH(Account_Data[[#This Row],[Date]],0)</f>
        <v>46022</v>
      </c>
      <c r="K520">
        <f>ABS(Account_Data[[#This Row],[Amount]])</f>
        <v>1000</v>
      </c>
    </row>
    <row r="521" spans="1:11" x14ac:dyDescent="0.35">
      <c r="A521" s="73">
        <v>46020</v>
      </c>
      <c r="B521" t="s">
        <v>496</v>
      </c>
      <c r="D521" s="3">
        <v>114065</v>
      </c>
      <c r="E521" s="3">
        <v>1469832.75</v>
      </c>
      <c r="F521" t="str">
        <f>TEXT(Account_Data[[#This Row],[Date]],"mmm-yyyy")</f>
        <v>Dec-2025</v>
      </c>
      <c r="G521" t="str">
        <f>IF(Account_Data[[#This Row],[Credit]]&gt;0,"Income","Expense")</f>
        <v>Income</v>
      </c>
      <c r="H5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521" s="3">
        <f>Account_Data[[#This Row],[Credit]]-Account_Data[[#This Row],[Debit]]</f>
        <v>114065</v>
      </c>
      <c r="J521" s="7">
        <f>EOMONTH(Account_Data[[#This Row],[Date]],0)</f>
        <v>46022</v>
      </c>
      <c r="K521">
        <f>ABS(Account_Data[[#This Row],[Amount]])</f>
        <v>114065</v>
      </c>
    </row>
    <row r="522" spans="1:11" x14ac:dyDescent="0.35">
      <c r="A522" s="73">
        <v>46020</v>
      </c>
      <c r="B522" t="s">
        <v>153</v>
      </c>
      <c r="C522" s="3">
        <v>10</v>
      </c>
      <c r="E522" s="3">
        <v>1469822.75</v>
      </c>
      <c r="F522" t="str">
        <f>TEXT(Account_Data[[#This Row],[Date]],"mmm-yyyy")</f>
        <v>Dec-2025</v>
      </c>
      <c r="G522" t="str">
        <f>IF(Account_Data[[#This Row],[Credit]]&gt;0,"Income","Expense")</f>
        <v>Expense</v>
      </c>
      <c r="H5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2" s="3">
        <f>Account_Data[[#This Row],[Credit]]-Account_Data[[#This Row],[Debit]]</f>
        <v>-10</v>
      </c>
      <c r="J522" s="7">
        <f>EOMONTH(Account_Data[[#This Row],[Date]],0)</f>
        <v>46022</v>
      </c>
      <c r="K522">
        <f>ABS(Account_Data[[#This Row],[Amount]])</f>
        <v>10</v>
      </c>
    </row>
    <row r="523" spans="1:11" x14ac:dyDescent="0.35">
      <c r="A523" s="73">
        <v>46020</v>
      </c>
      <c r="B523" t="s">
        <v>329</v>
      </c>
      <c r="C523" s="3">
        <v>1300</v>
      </c>
      <c r="E523" s="3">
        <v>1468522.75</v>
      </c>
      <c r="F523" t="str">
        <f>TEXT(Account_Data[[#This Row],[Date]],"mmm-yyyy")</f>
        <v>Dec-2025</v>
      </c>
      <c r="G523" t="str">
        <f>IF(Account_Data[[#This Row],[Credit]]&gt;0,"Income","Expense")</f>
        <v>Expense</v>
      </c>
      <c r="H5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3" s="3">
        <f>Account_Data[[#This Row],[Credit]]-Account_Data[[#This Row],[Debit]]</f>
        <v>-1300</v>
      </c>
      <c r="J523" s="7">
        <f>EOMONTH(Account_Data[[#This Row],[Date]],0)</f>
        <v>46022</v>
      </c>
      <c r="K523">
        <f>ABS(Account_Data[[#This Row],[Amount]])</f>
        <v>1300</v>
      </c>
    </row>
    <row r="524" spans="1:11" x14ac:dyDescent="0.35">
      <c r="A524" s="73">
        <v>46020</v>
      </c>
      <c r="B524" t="s">
        <v>330</v>
      </c>
      <c r="C524" s="3">
        <v>10</v>
      </c>
      <c r="E524" s="3">
        <v>1468512.75</v>
      </c>
      <c r="F524" t="str">
        <f>TEXT(Account_Data[[#This Row],[Date]],"mmm-yyyy")</f>
        <v>Dec-2025</v>
      </c>
      <c r="G524" t="str">
        <f>IF(Account_Data[[#This Row],[Credit]]&gt;0,"Income","Expense")</f>
        <v>Expense</v>
      </c>
      <c r="H5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4" s="3">
        <f>Account_Data[[#This Row],[Credit]]-Account_Data[[#This Row],[Debit]]</f>
        <v>-10</v>
      </c>
      <c r="J524" s="7">
        <f>EOMONTH(Account_Data[[#This Row],[Date]],0)</f>
        <v>46022</v>
      </c>
      <c r="K524">
        <f>ABS(Account_Data[[#This Row],[Amount]])</f>
        <v>10</v>
      </c>
    </row>
    <row r="525" spans="1:11" x14ac:dyDescent="0.35">
      <c r="A525" s="73">
        <v>46020</v>
      </c>
      <c r="B525" t="s">
        <v>331</v>
      </c>
      <c r="C525" s="3">
        <v>40</v>
      </c>
      <c r="E525" s="3">
        <v>1468472.75</v>
      </c>
      <c r="F525" t="str">
        <f>TEXT(Account_Data[[#This Row],[Date]],"mmm-yyyy")</f>
        <v>Dec-2025</v>
      </c>
      <c r="G525" t="str">
        <f>IF(Account_Data[[#This Row],[Credit]]&gt;0,"Income","Expense")</f>
        <v>Expense</v>
      </c>
      <c r="H5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5" s="3">
        <f>Account_Data[[#This Row],[Credit]]-Account_Data[[#This Row],[Debit]]</f>
        <v>-40</v>
      </c>
      <c r="J525" s="7">
        <f>EOMONTH(Account_Data[[#This Row],[Date]],0)</f>
        <v>46022</v>
      </c>
      <c r="K525">
        <f>ABS(Account_Data[[#This Row],[Amount]])</f>
        <v>40</v>
      </c>
    </row>
    <row r="526" spans="1:11" x14ac:dyDescent="0.35">
      <c r="A526" s="73">
        <v>46020</v>
      </c>
      <c r="B526" t="s">
        <v>332</v>
      </c>
      <c r="C526" s="3">
        <v>380</v>
      </c>
      <c r="E526" s="3">
        <v>1468092.75</v>
      </c>
      <c r="F526" t="str">
        <f>TEXT(Account_Data[[#This Row],[Date]],"mmm-yyyy")</f>
        <v>Dec-2025</v>
      </c>
      <c r="G526" t="str">
        <f>IF(Account_Data[[#This Row],[Credit]]&gt;0,"Income","Expense")</f>
        <v>Expense</v>
      </c>
      <c r="H5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6" s="3">
        <f>Account_Data[[#This Row],[Credit]]-Account_Data[[#This Row],[Debit]]</f>
        <v>-380</v>
      </c>
      <c r="J526" s="7">
        <f>EOMONTH(Account_Data[[#This Row],[Date]],0)</f>
        <v>46022</v>
      </c>
      <c r="K526">
        <f>ABS(Account_Data[[#This Row],[Amount]])</f>
        <v>380</v>
      </c>
    </row>
    <row r="527" spans="1:11" x14ac:dyDescent="0.35">
      <c r="A527" s="73">
        <v>46020</v>
      </c>
      <c r="B527" t="s">
        <v>332</v>
      </c>
      <c r="C527" s="3">
        <v>70</v>
      </c>
      <c r="E527" s="3">
        <v>1468022.75</v>
      </c>
      <c r="F527" t="str">
        <f>TEXT(Account_Data[[#This Row],[Date]],"mmm-yyyy")</f>
        <v>Dec-2025</v>
      </c>
      <c r="G527" t="str">
        <f>IF(Account_Data[[#This Row],[Credit]]&gt;0,"Income","Expense")</f>
        <v>Expense</v>
      </c>
      <c r="H5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7" s="3">
        <f>Account_Data[[#This Row],[Credit]]-Account_Data[[#This Row],[Debit]]</f>
        <v>-70</v>
      </c>
      <c r="J527" s="7">
        <f>EOMONTH(Account_Data[[#This Row],[Date]],0)</f>
        <v>46022</v>
      </c>
      <c r="K527">
        <f>ABS(Account_Data[[#This Row],[Amount]])</f>
        <v>70</v>
      </c>
    </row>
    <row r="528" spans="1:11" x14ac:dyDescent="0.35">
      <c r="A528" s="73">
        <v>46020</v>
      </c>
      <c r="B528" t="s">
        <v>333</v>
      </c>
      <c r="C528" s="3">
        <v>100</v>
      </c>
      <c r="E528" s="3">
        <v>1467922.75</v>
      </c>
      <c r="F528" t="str">
        <f>TEXT(Account_Data[[#This Row],[Date]],"mmm-yyyy")</f>
        <v>Dec-2025</v>
      </c>
      <c r="G528" t="str">
        <f>IF(Account_Data[[#This Row],[Credit]]&gt;0,"Income","Expense")</f>
        <v>Expense</v>
      </c>
      <c r="H5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8" s="3">
        <f>Account_Data[[#This Row],[Credit]]-Account_Data[[#This Row],[Debit]]</f>
        <v>-100</v>
      </c>
      <c r="J528" s="7">
        <f>EOMONTH(Account_Data[[#This Row],[Date]],0)</f>
        <v>46022</v>
      </c>
      <c r="K528">
        <f>ABS(Account_Data[[#This Row],[Amount]])</f>
        <v>100</v>
      </c>
    </row>
    <row r="529" spans="1:11" x14ac:dyDescent="0.35">
      <c r="A529" s="73">
        <v>46022</v>
      </c>
      <c r="B529" t="s">
        <v>334</v>
      </c>
      <c r="C529" s="3">
        <v>1700</v>
      </c>
      <c r="E529" s="3">
        <v>1466222.75</v>
      </c>
      <c r="F529" t="str">
        <f>TEXT(Account_Data[[#This Row],[Date]],"mmm-yyyy")</f>
        <v>Dec-2025</v>
      </c>
      <c r="G529" t="str">
        <f>IF(Account_Data[[#This Row],[Credit]]&gt;0,"Income","Expense")</f>
        <v>Expense</v>
      </c>
      <c r="H5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29" s="3">
        <f>Account_Data[[#This Row],[Credit]]-Account_Data[[#This Row],[Debit]]</f>
        <v>-1700</v>
      </c>
      <c r="J529" s="7">
        <f>EOMONTH(Account_Data[[#This Row],[Date]],0)</f>
        <v>46022</v>
      </c>
      <c r="K529">
        <f>ABS(Account_Data[[#This Row],[Amount]])</f>
        <v>1700</v>
      </c>
    </row>
    <row r="530" spans="1:11" x14ac:dyDescent="0.35">
      <c r="A530" s="73">
        <v>46022</v>
      </c>
      <c r="B530" t="s">
        <v>335</v>
      </c>
      <c r="C530" s="3">
        <v>10</v>
      </c>
      <c r="E530" s="3">
        <v>1466212.75</v>
      </c>
      <c r="F530" t="str">
        <f>TEXT(Account_Data[[#This Row],[Date]],"mmm-yyyy")</f>
        <v>Dec-2025</v>
      </c>
      <c r="G530" t="str">
        <f>IF(Account_Data[[#This Row],[Credit]]&gt;0,"Income","Expense")</f>
        <v>Expense</v>
      </c>
      <c r="H5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30" s="3">
        <f>Account_Data[[#This Row],[Credit]]-Account_Data[[#This Row],[Debit]]</f>
        <v>-10</v>
      </c>
      <c r="J530" s="7">
        <f>EOMONTH(Account_Data[[#This Row],[Date]],0)</f>
        <v>46022</v>
      </c>
      <c r="K530">
        <f>ABS(Account_Data[[#This Row],[Amount]])</f>
        <v>10</v>
      </c>
    </row>
    <row r="531" spans="1:11" x14ac:dyDescent="0.35">
      <c r="A531" s="73">
        <v>46023</v>
      </c>
      <c r="B531" t="s">
        <v>89</v>
      </c>
      <c r="C531" s="3">
        <v>2000</v>
      </c>
      <c r="E531" s="3">
        <v>1464212.75</v>
      </c>
      <c r="F531" t="str">
        <f>TEXT(Account_Data[[#This Row],[Date]],"mmm-yyyy")</f>
        <v>Jan-2026</v>
      </c>
      <c r="G531" t="str">
        <f>IF(Account_Data[[#This Row],[Credit]]&gt;0,"Income","Expense")</f>
        <v>Expense</v>
      </c>
      <c r="H5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31" s="3">
        <f>Account_Data[[#This Row],[Credit]]-Account_Data[[#This Row],[Debit]]</f>
        <v>-2000</v>
      </c>
      <c r="J531" s="7">
        <f>EOMONTH(Account_Data[[#This Row],[Date]],0)</f>
        <v>46053</v>
      </c>
      <c r="K531">
        <f>ABS(Account_Data[[#This Row],[Amount]])</f>
        <v>2000</v>
      </c>
    </row>
    <row r="532" spans="1:11" x14ac:dyDescent="0.35">
      <c r="A532" s="73">
        <v>46023</v>
      </c>
      <c r="B532" t="s">
        <v>89</v>
      </c>
      <c r="C532" s="3">
        <v>3000</v>
      </c>
      <c r="E532" s="3">
        <v>1461212.75</v>
      </c>
      <c r="F532" t="str">
        <f>TEXT(Account_Data[[#This Row],[Date]],"mmm-yyyy")</f>
        <v>Jan-2026</v>
      </c>
      <c r="G532" t="str">
        <f>IF(Account_Data[[#This Row],[Credit]]&gt;0,"Income","Expense")</f>
        <v>Expense</v>
      </c>
      <c r="H5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32" s="3">
        <f>Account_Data[[#This Row],[Credit]]-Account_Data[[#This Row],[Debit]]</f>
        <v>-3000</v>
      </c>
      <c r="J532" s="7">
        <f>EOMONTH(Account_Data[[#This Row],[Date]],0)</f>
        <v>46053</v>
      </c>
      <c r="K532">
        <f>ABS(Account_Data[[#This Row],[Amount]])</f>
        <v>3000</v>
      </c>
    </row>
    <row r="533" spans="1:11" x14ac:dyDescent="0.35">
      <c r="A533" s="73">
        <v>46023</v>
      </c>
      <c r="B533" t="s">
        <v>89</v>
      </c>
      <c r="C533" s="3">
        <v>2000</v>
      </c>
      <c r="E533" s="3">
        <v>1459212.75</v>
      </c>
      <c r="F533" t="str">
        <f>TEXT(Account_Data[[#This Row],[Date]],"mmm-yyyy")</f>
        <v>Jan-2026</v>
      </c>
      <c r="G533" t="str">
        <f>IF(Account_Data[[#This Row],[Credit]]&gt;0,"Income","Expense")</f>
        <v>Expense</v>
      </c>
      <c r="H5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33" s="3">
        <f>Account_Data[[#This Row],[Credit]]-Account_Data[[#This Row],[Debit]]</f>
        <v>-2000</v>
      </c>
      <c r="J533" s="7">
        <f>EOMONTH(Account_Data[[#This Row],[Date]],0)</f>
        <v>46053</v>
      </c>
      <c r="K533">
        <f>ABS(Account_Data[[#This Row],[Amount]])</f>
        <v>2000</v>
      </c>
    </row>
    <row r="534" spans="1:11" x14ac:dyDescent="0.35">
      <c r="A534" s="73">
        <v>46023</v>
      </c>
      <c r="B534" t="s">
        <v>89</v>
      </c>
      <c r="C534" s="3">
        <v>2000</v>
      </c>
      <c r="E534" s="3">
        <v>1457212.75</v>
      </c>
      <c r="F534" t="str">
        <f>TEXT(Account_Data[[#This Row],[Date]],"mmm-yyyy")</f>
        <v>Jan-2026</v>
      </c>
      <c r="G534" t="str">
        <f>IF(Account_Data[[#This Row],[Credit]]&gt;0,"Income","Expense")</f>
        <v>Expense</v>
      </c>
      <c r="H5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34" s="3">
        <f>Account_Data[[#This Row],[Credit]]-Account_Data[[#This Row],[Debit]]</f>
        <v>-2000</v>
      </c>
      <c r="J534" s="7">
        <f>EOMONTH(Account_Data[[#This Row],[Date]],0)</f>
        <v>46053</v>
      </c>
      <c r="K534">
        <f>ABS(Account_Data[[#This Row],[Amount]])</f>
        <v>2000</v>
      </c>
    </row>
    <row r="535" spans="1:11" x14ac:dyDescent="0.35">
      <c r="A535" s="73">
        <v>46023</v>
      </c>
      <c r="B535" t="s">
        <v>89</v>
      </c>
      <c r="C535" s="3">
        <v>5000</v>
      </c>
      <c r="E535" s="3">
        <v>1452212.75</v>
      </c>
      <c r="F535" t="str">
        <f>TEXT(Account_Data[[#This Row],[Date]],"mmm-yyyy")</f>
        <v>Jan-2026</v>
      </c>
      <c r="G535" t="str">
        <f>IF(Account_Data[[#This Row],[Credit]]&gt;0,"Income","Expense")</f>
        <v>Expense</v>
      </c>
      <c r="H5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35" s="3">
        <f>Account_Data[[#This Row],[Credit]]-Account_Data[[#This Row],[Debit]]</f>
        <v>-5000</v>
      </c>
      <c r="J535" s="7">
        <f>EOMONTH(Account_Data[[#This Row],[Date]],0)</f>
        <v>46053</v>
      </c>
      <c r="K535">
        <f>ABS(Account_Data[[#This Row],[Amount]])</f>
        <v>5000</v>
      </c>
    </row>
    <row r="536" spans="1:11" x14ac:dyDescent="0.35">
      <c r="A536" s="73">
        <v>46023</v>
      </c>
      <c r="B536" t="s">
        <v>90</v>
      </c>
      <c r="C536" s="3">
        <v>1000</v>
      </c>
      <c r="E536" s="3">
        <v>1451212.75</v>
      </c>
      <c r="F536" t="str">
        <f>TEXT(Account_Data[[#This Row],[Date]],"mmm-yyyy")</f>
        <v>Jan-2026</v>
      </c>
      <c r="G536" t="str">
        <f>IF(Account_Data[[#This Row],[Credit]]&gt;0,"Income","Expense")</f>
        <v>Expense</v>
      </c>
      <c r="H5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536" s="3">
        <f>Account_Data[[#This Row],[Credit]]-Account_Data[[#This Row],[Debit]]</f>
        <v>-1000</v>
      </c>
      <c r="J536" s="7">
        <f>EOMONTH(Account_Data[[#This Row],[Date]],0)</f>
        <v>46053</v>
      </c>
      <c r="K536">
        <f>ABS(Account_Data[[#This Row],[Amount]])</f>
        <v>1000</v>
      </c>
    </row>
    <row r="537" spans="1:11" x14ac:dyDescent="0.35">
      <c r="A537" s="73">
        <v>46023</v>
      </c>
      <c r="B537" t="s">
        <v>110</v>
      </c>
      <c r="C537" s="3">
        <v>25244</v>
      </c>
      <c r="E537" s="3">
        <v>1425968.75</v>
      </c>
      <c r="F537" t="str">
        <f>TEXT(Account_Data[[#This Row],[Date]],"mmm-yyyy")</f>
        <v>Jan-2026</v>
      </c>
      <c r="G537" t="str">
        <f>IF(Account_Data[[#This Row],[Credit]]&gt;0,"Income","Expense")</f>
        <v>Expense</v>
      </c>
      <c r="H5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37" s="3">
        <f>Account_Data[[#This Row],[Credit]]-Account_Data[[#This Row],[Debit]]</f>
        <v>-25244</v>
      </c>
      <c r="J537" s="7">
        <f>EOMONTH(Account_Data[[#This Row],[Date]],0)</f>
        <v>46053</v>
      </c>
      <c r="K537">
        <f>ABS(Account_Data[[#This Row],[Amount]])</f>
        <v>25244</v>
      </c>
    </row>
    <row r="538" spans="1:11" x14ac:dyDescent="0.35">
      <c r="A538" s="73">
        <v>46023</v>
      </c>
      <c r="B538" t="s">
        <v>153</v>
      </c>
      <c r="C538" s="3">
        <v>10</v>
      </c>
      <c r="E538" s="3">
        <v>1425958.75</v>
      </c>
      <c r="F538" t="str">
        <f>TEXT(Account_Data[[#This Row],[Date]],"mmm-yyyy")</f>
        <v>Jan-2026</v>
      </c>
      <c r="G538" t="str">
        <f>IF(Account_Data[[#This Row],[Credit]]&gt;0,"Income","Expense")</f>
        <v>Expense</v>
      </c>
      <c r="H5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38" s="3">
        <f>Account_Data[[#This Row],[Credit]]-Account_Data[[#This Row],[Debit]]</f>
        <v>-10</v>
      </c>
      <c r="J538" s="7">
        <f>EOMONTH(Account_Data[[#This Row],[Date]],0)</f>
        <v>46053</v>
      </c>
      <c r="K538">
        <f>ABS(Account_Data[[#This Row],[Amount]])</f>
        <v>10</v>
      </c>
    </row>
    <row r="539" spans="1:11" x14ac:dyDescent="0.35">
      <c r="A539" s="73">
        <v>46023</v>
      </c>
      <c r="B539" t="s">
        <v>336</v>
      </c>
      <c r="C539" s="3">
        <v>480</v>
      </c>
      <c r="E539" s="3">
        <v>1425478.75</v>
      </c>
      <c r="F539" t="str">
        <f>TEXT(Account_Data[[#This Row],[Date]],"mmm-yyyy")</f>
        <v>Jan-2026</v>
      </c>
      <c r="G539" t="str">
        <f>IF(Account_Data[[#This Row],[Credit]]&gt;0,"Income","Expense")</f>
        <v>Expense</v>
      </c>
      <c r="H5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39" s="3">
        <f>Account_Data[[#This Row],[Credit]]-Account_Data[[#This Row],[Debit]]</f>
        <v>-480</v>
      </c>
      <c r="J539" s="7">
        <f>EOMONTH(Account_Data[[#This Row],[Date]],0)</f>
        <v>46053</v>
      </c>
      <c r="K539">
        <f>ABS(Account_Data[[#This Row],[Amount]])</f>
        <v>480</v>
      </c>
    </row>
    <row r="540" spans="1:11" x14ac:dyDescent="0.35">
      <c r="A540" s="73">
        <v>46024</v>
      </c>
      <c r="B540" t="s">
        <v>91</v>
      </c>
      <c r="C540" s="3">
        <v>7717</v>
      </c>
      <c r="E540" s="3">
        <v>1417761.75</v>
      </c>
      <c r="F540" t="str">
        <f>TEXT(Account_Data[[#This Row],[Date]],"mmm-yyyy")</f>
        <v>Jan-2026</v>
      </c>
      <c r="G540" t="str">
        <f>IF(Account_Data[[#This Row],[Credit]]&gt;0,"Income","Expense")</f>
        <v>Expense</v>
      </c>
      <c r="H5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40" s="3">
        <f>Account_Data[[#This Row],[Credit]]-Account_Data[[#This Row],[Debit]]</f>
        <v>-7717</v>
      </c>
      <c r="J540" s="7">
        <f>EOMONTH(Account_Data[[#This Row],[Date]],0)</f>
        <v>46053</v>
      </c>
      <c r="K540">
        <f>ABS(Account_Data[[#This Row],[Amount]])</f>
        <v>7717</v>
      </c>
    </row>
    <row r="541" spans="1:11" x14ac:dyDescent="0.35">
      <c r="A541" s="73">
        <v>46024</v>
      </c>
      <c r="B541" t="s">
        <v>91</v>
      </c>
      <c r="C541" s="3">
        <v>8704</v>
      </c>
      <c r="E541" s="3">
        <v>1409057.75</v>
      </c>
      <c r="F541" t="str">
        <f>TEXT(Account_Data[[#This Row],[Date]],"mmm-yyyy")</f>
        <v>Jan-2026</v>
      </c>
      <c r="G541" t="str">
        <f>IF(Account_Data[[#This Row],[Credit]]&gt;0,"Income","Expense")</f>
        <v>Expense</v>
      </c>
      <c r="H5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41" s="3">
        <f>Account_Data[[#This Row],[Credit]]-Account_Data[[#This Row],[Debit]]</f>
        <v>-8704</v>
      </c>
      <c r="J541" s="7">
        <f>EOMONTH(Account_Data[[#This Row],[Date]],0)</f>
        <v>46053</v>
      </c>
      <c r="K541">
        <f>ABS(Account_Data[[#This Row],[Amount]])</f>
        <v>8704</v>
      </c>
    </row>
    <row r="542" spans="1:11" x14ac:dyDescent="0.35">
      <c r="A542" s="73">
        <v>46024</v>
      </c>
      <c r="B542" t="s">
        <v>90</v>
      </c>
      <c r="C542" s="3">
        <v>1500</v>
      </c>
      <c r="E542" s="3">
        <v>1407557.75</v>
      </c>
      <c r="F542" t="str">
        <f>TEXT(Account_Data[[#This Row],[Date]],"mmm-yyyy")</f>
        <v>Jan-2026</v>
      </c>
      <c r="G542" t="str">
        <f>IF(Account_Data[[#This Row],[Credit]]&gt;0,"Income","Expense")</f>
        <v>Expense</v>
      </c>
      <c r="H5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542" s="3">
        <f>Account_Data[[#This Row],[Credit]]-Account_Data[[#This Row],[Debit]]</f>
        <v>-1500</v>
      </c>
      <c r="J542" s="7">
        <f>EOMONTH(Account_Data[[#This Row],[Date]],0)</f>
        <v>46053</v>
      </c>
      <c r="K542">
        <f>ABS(Account_Data[[#This Row],[Amount]])</f>
        <v>1500</v>
      </c>
    </row>
    <row r="543" spans="1:11" x14ac:dyDescent="0.35">
      <c r="A543" s="73">
        <v>46024</v>
      </c>
      <c r="B543" t="s">
        <v>337</v>
      </c>
      <c r="C543" s="3">
        <v>300</v>
      </c>
      <c r="E543" s="3">
        <v>1407257.75</v>
      </c>
      <c r="F543" t="str">
        <f>TEXT(Account_Data[[#This Row],[Date]],"mmm-yyyy")</f>
        <v>Jan-2026</v>
      </c>
      <c r="G543" t="str">
        <f>IF(Account_Data[[#This Row],[Credit]]&gt;0,"Income","Expense")</f>
        <v>Expense</v>
      </c>
      <c r="H5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3" s="3">
        <f>Account_Data[[#This Row],[Credit]]-Account_Data[[#This Row],[Debit]]</f>
        <v>-300</v>
      </c>
      <c r="J543" s="7">
        <f>EOMONTH(Account_Data[[#This Row],[Date]],0)</f>
        <v>46053</v>
      </c>
      <c r="K543">
        <f>ABS(Account_Data[[#This Row],[Amount]])</f>
        <v>300</v>
      </c>
    </row>
    <row r="544" spans="1:11" x14ac:dyDescent="0.35">
      <c r="A544" s="73">
        <v>46024</v>
      </c>
      <c r="B544" t="s">
        <v>153</v>
      </c>
      <c r="C544" s="3">
        <v>10</v>
      </c>
      <c r="E544" s="3">
        <v>1407247.75</v>
      </c>
      <c r="F544" t="str">
        <f>TEXT(Account_Data[[#This Row],[Date]],"mmm-yyyy")</f>
        <v>Jan-2026</v>
      </c>
      <c r="G544" t="str">
        <f>IF(Account_Data[[#This Row],[Credit]]&gt;0,"Income","Expense")</f>
        <v>Expense</v>
      </c>
      <c r="H5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4" s="3">
        <f>Account_Data[[#This Row],[Credit]]-Account_Data[[#This Row],[Debit]]</f>
        <v>-10</v>
      </c>
      <c r="J544" s="7">
        <f>EOMONTH(Account_Data[[#This Row],[Date]],0)</f>
        <v>46053</v>
      </c>
      <c r="K544">
        <f>ABS(Account_Data[[#This Row],[Amount]])</f>
        <v>10</v>
      </c>
    </row>
    <row r="545" spans="1:11" x14ac:dyDescent="0.35">
      <c r="A545" s="73">
        <v>46024</v>
      </c>
      <c r="B545" t="s">
        <v>338</v>
      </c>
      <c r="C545" s="3">
        <v>11</v>
      </c>
      <c r="E545" s="3">
        <v>1407236.75</v>
      </c>
      <c r="F545" t="str">
        <f>TEXT(Account_Data[[#This Row],[Date]],"mmm-yyyy")</f>
        <v>Jan-2026</v>
      </c>
      <c r="G545" t="str">
        <f>IF(Account_Data[[#This Row],[Credit]]&gt;0,"Income","Expense")</f>
        <v>Expense</v>
      </c>
      <c r="H5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5" s="3">
        <f>Account_Data[[#This Row],[Credit]]-Account_Data[[#This Row],[Debit]]</f>
        <v>-11</v>
      </c>
      <c r="J545" s="7">
        <f>EOMONTH(Account_Data[[#This Row],[Date]],0)</f>
        <v>46053</v>
      </c>
      <c r="K545">
        <f>ABS(Account_Data[[#This Row],[Amount]])</f>
        <v>11</v>
      </c>
    </row>
    <row r="546" spans="1:11" x14ac:dyDescent="0.35">
      <c r="A546" s="73">
        <v>46024</v>
      </c>
      <c r="B546" t="s">
        <v>273</v>
      </c>
      <c r="C546" s="3">
        <v>1750</v>
      </c>
      <c r="E546" s="3">
        <v>1405486.75</v>
      </c>
      <c r="F546" t="str">
        <f>TEXT(Account_Data[[#This Row],[Date]],"mmm-yyyy")</f>
        <v>Jan-2026</v>
      </c>
      <c r="G546" t="str">
        <f>IF(Account_Data[[#This Row],[Credit]]&gt;0,"Income","Expense")</f>
        <v>Expense</v>
      </c>
      <c r="H5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6" s="3">
        <f>Account_Data[[#This Row],[Credit]]-Account_Data[[#This Row],[Debit]]</f>
        <v>-1750</v>
      </c>
      <c r="J546" s="7">
        <f>EOMONTH(Account_Data[[#This Row],[Date]],0)</f>
        <v>46053</v>
      </c>
      <c r="K546">
        <f>ABS(Account_Data[[#This Row],[Amount]])</f>
        <v>1750</v>
      </c>
    </row>
    <row r="547" spans="1:11" x14ac:dyDescent="0.35">
      <c r="A547" s="73">
        <v>46024</v>
      </c>
      <c r="B547" t="s">
        <v>339</v>
      </c>
      <c r="C547" s="3">
        <v>20</v>
      </c>
      <c r="E547" s="3">
        <v>1405466.75</v>
      </c>
      <c r="F547" t="str">
        <f>TEXT(Account_Data[[#This Row],[Date]],"mmm-yyyy")</f>
        <v>Jan-2026</v>
      </c>
      <c r="G547" t="str">
        <f>IF(Account_Data[[#This Row],[Credit]]&gt;0,"Income","Expense")</f>
        <v>Expense</v>
      </c>
      <c r="H5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7" s="3">
        <f>Account_Data[[#This Row],[Credit]]-Account_Data[[#This Row],[Debit]]</f>
        <v>-20</v>
      </c>
      <c r="J547" s="7">
        <f>EOMONTH(Account_Data[[#This Row],[Date]],0)</f>
        <v>46053</v>
      </c>
      <c r="K547">
        <f>ABS(Account_Data[[#This Row],[Amount]])</f>
        <v>20</v>
      </c>
    </row>
    <row r="548" spans="1:11" x14ac:dyDescent="0.35">
      <c r="A548" s="73">
        <v>46024</v>
      </c>
      <c r="B548" t="s">
        <v>170</v>
      </c>
      <c r="C548" s="3">
        <v>200</v>
      </c>
      <c r="E548" s="3">
        <v>1405266.75</v>
      </c>
      <c r="F548" t="str">
        <f>TEXT(Account_Data[[#This Row],[Date]],"mmm-yyyy")</f>
        <v>Jan-2026</v>
      </c>
      <c r="G548" t="str">
        <f>IF(Account_Data[[#This Row],[Credit]]&gt;0,"Income","Expense")</f>
        <v>Expense</v>
      </c>
      <c r="H5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8" s="3">
        <f>Account_Data[[#This Row],[Credit]]-Account_Data[[#This Row],[Debit]]</f>
        <v>-200</v>
      </c>
      <c r="J548" s="7">
        <f>EOMONTH(Account_Data[[#This Row],[Date]],0)</f>
        <v>46053</v>
      </c>
      <c r="K548">
        <f>ABS(Account_Data[[#This Row],[Amount]])</f>
        <v>200</v>
      </c>
    </row>
    <row r="549" spans="1:11" x14ac:dyDescent="0.35">
      <c r="A549" s="73">
        <v>46025</v>
      </c>
      <c r="B549" t="s">
        <v>314</v>
      </c>
      <c r="C549" s="3">
        <v>10</v>
      </c>
      <c r="E549" s="3">
        <v>1405256.75</v>
      </c>
      <c r="F549" t="str">
        <f>TEXT(Account_Data[[#This Row],[Date]],"mmm-yyyy")</f>
        <v>Jan-2026</v>
      </c>
      <c r="G549" t="str">
        <f>IF(Account_Data[[#This Row],[Credit]]&gt;0,"Income","Expense")</f>
        <v>Expense</v>
      </c>
      <c r="H5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49" s="3">
        <f>Account_Data[[#This Row],[Credit]]-Account_Data[[#This Row],[Debit]]</f>
        <v>-10</v>
      </c>
      <c r="J549" s="7">
        <f>EOMONTH(Account_Data[[#This Row],[Date]],0)</f>
        <v>46053</v>
      </c>
      <c r="K549">
        <f>ABS(Account_Data[[#This Row],[Amount]])</f>
        <v>10</v>
      </c>
    </row>
    <row r="550" spans="1:11" x14ac:dyDescent="0.35">
      <c r="A550" s="73">
        <v>46026</v>
      </c>
      <c r="B550" t="s">
        <v>145</v>
      </c>
      <c r="C550" s="3">
        <v>15000</v>
      </c>
      <c r="E550" s="3">
        <v>1390256.75</v>
      </c>
      <c r="F550" t="str">
        <f>TEXT(Account_Data[[#This Row],[Date]],"mmm-yyyy")</f>
        <v>Jan-2026</v>
      </c>
      <c r="G550" t="str">
        <f>IF(Account_Data[[#This Row],[Credit]]&gt;0,"Income","Expense")</f>
        <v>Expense</v>
      </c>
      <c r="H5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0" s="3">
        <f>Account_Data[[#This Row],[Credit]]-Account_Data[[#This Row],[Debit]]</f>
        <v>-15000</v>
      </c>
      <c r="J550" s="7">
        <f>EOMONTH(Account_Data[[#This Row],[Date]],0)</f>
        <v>46053</v>
      </c>
      <c r="K550">
        <f>ABS(Account_Data[[#This Row],[Amount]])</f>
        <v>15000</v>
      </c>
    </row>
    <row r="551" spans="1:11" x14ac:dyDescent="0.35">
      <c r="A551" s="73">
        <v>46026</v>
      </c>
      <c r="B551" t="s">
        <v>91</v>
      </c>
      <c r="C551" s="3">
        <v>6280</v>
      </c>
      <c r="E551" s="3">
        <v>1383976.75</v>
      </c>
      <c r="F551" t="str">
        <f>TEXT(Account_Data[[#This Row],[Date]],"mmm-yyyy")</f>
        <v>Jan-2026</v>
      </c>
      <c r="G551" t="str">
        <f>IF(Account_Data[[#This Row],[Credit]]&gt;0,"Income","Expense")</f>
        <v>Expense</v>
      </c>
      <c r="H5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51" s="3">
        <f>Account_Data[[#This Row],[Credit]]-Account_Data[[#This Row],[Debit]]</f>
        <v>-6280</v>
      </c>
      <c r="J551" s="7">
        <f>EOMONTH(Account_Data[[#This Row],[Date]],0)</f>
        <v>46053</v>
      </c>
      <c r="K551">
        <f>ABS(Account_Data[[#This Row],[Amount]])</f>
        <v>6280</v>
      </c>
    </row>
    <row r="552" spans="1:11" x14ac:dyDescent="0.35">
      <c r="A552" s="73">
        <v>46026</v>
      </c>
      <c r="B552" t="s">
        <v>340</v>
      </c>
      <c r="C552" s="3">
        <v>1150</v>
      </c>
      <c r="E552" s="3">
        <v>1382826.75</v>
      </c>
      <c r="F552" t="str">
        <f>TEXT(Account_Data[[#This Row],[Date]],"mmm-yyyy")</f>
        <v>Jan-2026</v>
      </c>
      <c r="G552" t="str">
        <f>IF(Account_Data[[#This Row],[Credit]]&gt;0,"Income","Expense")</f>
        <v>Expense</v>
      </c>
      <c r="H5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2" s="3">
        <f>Account_Data[[#This Row],[Credit]]-Account_Data[[#This Row],[Debit]]</f>
        <v>-1150</v>
      </c>
      <c r="J552" s="7">
        <f>EOMONTH(Account_Data[[#This Row],[Date]],0)</f>
        <v>46053</v>
      </c>
      <c r="K552">
        <f>ABS(Account_Data[[#This Row],[Amount]])</f>
        <v>1150</v>
      </c>
    </row>
    <row r="553" spans="1:11" x14ac:dyDescent="0.35">
      <c r="A553" s="73">
        <v>46027</v>
      </c>
      <c r="B553" t="s">
        <v>89</v>
      </c>
      <c r="C553" s="3">
        <v>10000</v>
      </c>
      <c r="E553" s="3">
        <v>1372826.75</v>
      </c>
      <c r="F553" t="str">
        <f>TEXT(Account_Data[[#This Row],[Date]],"mmm-yyyy")</f>
        <v>Jan-2026</v>
      </c>
      <c r="G553" t="str">
        <f>IF(Account_Data[[#This Row],[Credit]]&gt;0,"Income","Expense")</f>
        <v>Expense</v>
      </c>
      <c r="H5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53" s="3">
        <f>Account_Data[[#This Row],[Credit]]-Account_Data[[#This Row],[Debit]]</f>
        <v>-10000</v>
      </c>
      <c r="J553" s="7">
        <f>EOMONTH(Account_Data[[#This Row],[Date]],0)</f>
        <v>46053</v>
      </c>
      <c r="K553">
        <f>ABS(Account_Data[[#This Row],[Amount]])</f>
        <v>10000</v>
      </c>
    </row>
    <row r="554" spans="1:11" x14ac:dyDescent="0.35">
      <c r="A554" s="73">
        <v>46027</v>
      </c>
      <c r="B554" t="s">
        <v>146</v>
      </c>
      <c r="C554" s="3">
        <v>50</v>
      </c>
      <c r="E554" s="3">
        <v>1372776.75</v>
      </c>
      <c r="F554" t="str">
        <f>TEXT(Account_Data[[#This Row],[Date]],"mmm-yyyy")</f>
        <v>Jan-2026</v>
      </c>
      <c r="G554" t="str">
        <f>IF(Account_Data[[#This Row],[Credit]]&gt;0,"Income","Expense")</f>
        <v>Expense</v>
      </c>
      <c r="H5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4" s="3">
        <f>Account_Data[[#This Row],[Credit]]-Account_Data[[#This Row],[Debit]]</f>
        <v>-50</v>
      </c>
      <c r="J554" s="7">
        <f>EOMONTH(Account_Data[[#This Row],[Date]],0)</f>
        <v>46053</v>
      </c>
      <c r="K554">
        <f>ABS(Account_Data[[#This Row],[Amount]])</f>
        <v>50</v>
      </c>
    </row>
    <row r="555" spans="1:11" x14ac:dyDescent="0.35">
      <c r="A555" s="73">
        <v>46030</v>
      </c>
      <c r="B555" t="s">
        <v>145</v>
      </c>
      <c r="C555" s="3">
        <v>8100</v>
      </c>
      <c r="E555" s="3">
        <v>1364676.75</v>
      </c>
      <c r="F555" t="str">
        <f>TEXT(Account_Data[[#This Row],[Date]],"mmm-yyyy")</f>
        <v>Jan-2026</v>
      </c>
      <c r="G555" t="str">
        <f>IF(Account_Data[[#This Row],[Credit]]&gt;0,"Income","Expense")</f>
        <v>Expense</v>
      </c>
      <c r="H5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5" s="3">
        <f>Account_Data[[#This Row],[Credit]]-Account_Data[[#This Row],[Debit]]</f>
        <v>-8100</v>
      </c>
      <c r="J555" s="7">
        <f>EOMONTH(Account_Data[[#This Row],[Date]],0)</f>
        <v>46053</v>
      </c>
      <c r="K555">
        <f>ABS(Account_Data[[#This Row],[Amount]])</f>
        <v>8100</v>
      </c>
    </row>
    <row r="556" spans="1:11" x14ac:dyDescent="0.35">
      <c r="A556" s="73">
        <v>46030</v>
      </c>
      <c r="B556" t="s">
        <v>314</v>
      </c>
      <c r="C556" s="3">
        <v>10</v>
      </c>
      <c r="E556" s="3">
        <v>1364666.75</v>
      </c>
      <c r="F556" t="str">
        <f>TEXT(Account_Data[[#This Row],[Date]],"mmm-yyyy")</f>
        <v>Jan-2026</v>
      </c>
      <c r="G556" t="str">
        <f>IF(Account_Data[[#This Row],[Credit]]&gt;0,"Income","Expense")</f>
        <v>Expense</v>
      </c>
      <c r="H5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6" s="3">
        <f>Account_Data[[#This Row],[Credit]]-Account_Data[[#This Row],[Debit]]</f>
        <v>-10</v>
      </c>
      <c r="J556" s="7">
        <f>EOMONTH(Account_Data[[#This Row],[Date]],0)</f>
        <v>46053</v>
      </c>
      <c r="K556">
        <f>ABS(Account_Data[[#This Row],[Amount]])</f>
        <v>10</v>
      </c>
    </row>
    <row r="557" spans="1:11" x14ac:dyDescent="0.35">
      <c r="A557" s="73">
        <v>46031</v>
      </c>
      <c r="B557" t="s">
        <v>341</v>
      </c>
      <c r="C557" s="3">
        <v>120</v>
      </c>
      <c r="E557" s="3">
        <v>1364546.75</v>
      </c>
      <c r="F557" t="str">
        <f>TEXT(Account_Data[[#This Row],[Date]],"mmm-yyyy")</f>
        <v>Jan-2026</v>
      </c>
      <c r="G557" t="str">
        <f>IF(Account_Data[[#This Row],[Credit]]&gt;0,"Income","Expense")</f>
        <v>Expense</v>
      </c>
      <c r="H5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7" s="3">
        <f>Account_Data[[#This Row],[Credit]]-Account_Data[[#This Row],[Debit]]</f>
        <v>-120</v>
      </c>
      <c r="J557" s="7">
        <f>EOMONTH(Account_Data[[#This Row],[Date]],0)</f>
        <v>46053</v>
      </c>
      <c r="K557">
        <f>ABS(Account_Data[[#This Row],[Amount]])</f>
        <v>120</v>
      </c>
    </row>
    <row r="558" spans="1:11" x14ac:dyDescent="0.35">
      <c r="A558" s="73">
        <v>46032</v>
      </c>
      <c r="B558" t="s">
        <v>177</v>
      </c>
      <c r="C558" s="3">
        <v>4000</v>
      </c>
      <c r="E558" s="3">
        <v>1360546.75</v>
      </c>
      <c r="F558" t="str">
        <f>TEXT(Account_Data[[#This Row],[Date]],"mmm-yyyy")</f>
        <v>Jan-2026</v>
      </c>
      <c r="G558" t="str">
        <f>IF(Account_Data[[#This Row],[Credit]]&gt;0,"Income","Expense")</f>
        <v>Expense</v>
      </c>
      <c r="H5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58" s="3">
        <f>Account_Data[[#This Row],[Credit]]-Account_Data[[#This Row],[Debit]]</f>
        <v>-4000</v>
      </c>
      <c r="J558" s="7">
        <f>EOMONTH(Account_Data[[#This Row],[Date]],0)</f>
        <v>46053</v>
      </c>
      <c r="K558">
        <f>ABS(Account_Data[[#This Row],[Amount]])</f>
        <v>4000</v>
      </c>
    </row>
    <row r="559" spans="1:11" x14ac:dyDescent="0.35">
      <c r="A559" s="73">
        <v>46032</v>
      </c>
      <c r="B559" t="s">
        <v>257</v>
      </c>
      <c r="C559" s="3">
        <v>20000</v>
      </c>
      <c r="E559" s="3">
        <v>1340546.75</v>
      </c>
      <c r="F559" t="str">
        <f>TEXT(Account_Data[[#This Row],[Date]],"mmm-yyyy")</f>
        <v>Jan-2026</v>
      </c>
      <c r="G559" t="str">
        <f>IF(Account_Data[[#This Row],[Credit]]&gt;0,"Income","Expense")</f>
        <v>Expense</v>
      </c>
      <c r="H5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559" s="3">
        <f>Account_Data[[#This Row],[Credit]]-Account_Data[[#This Row],[Debit]]</f>
        <v>-20000</v>
      </c>
      <c r="J559" s="7">
        <f>EOMONTH(Account_Data[[#This Row],[Date]],0)</f>
        <v>46053</v>
      </c>
      <c r="K559">
        <f>ABS(Account_Data[[#This Row],[Amount]])</f>
        <v>20000</v>
      </c>
    </row>
    <row r="560" spans="1:11" x14ac:dyDescent="0.35">
      <c r="A560" s="73">
        <v>46032</v>
      </c>
      <c r="B560" t="s">
        <v>342</v>
      </c>
      <c r="C560" s="3">
        <v>1520</v>
      </c>
      <c r="E560" s="3">
        <v>1339026.75</v>
      </c>
      <c r="F560" t="str">
        <f>TEXT(Account_Data[[#This Row],[Date]],"mmm-yyyy")</f>
        <v>Jan-2026</v>
      </c>
      <c r="G560" t="str">
        <f>IF(Account_Data[[#This Row],[Credit]]&gt;0,"Income","Expense")</f>
        <v>Expense</v>
      </c>
      <c r="H5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0" s="3">
        <f>Account_Data[[#This Row],[Credit]]-Account_Data[[#This Row],[Debit]]</f>
        <v>-1520</v>
      </c>
      <c r="J560" s="7">
        <f>EOMONTH(Account_Data[[#This Row],[Date]],0)</f>
        <v>46053</v>
      </c>
      <c r="K560">
        <f>ABS(Account_Data[[#This Row],[Amount]])</f>
        <v>1520</v>
      </c>
    </row>
    <row r="561" spans="1:11" x14ac:dyDescent="0.35">
      <c r="A561" s="73">
        <v>46033</v>
      </c>
      <c r="B561" t="s">
        <v>234</v>
      </c>
      <c r="C561" s="3">
        <v>199</v>
      </c>
      <c r="E561" s="3">
        <v>1338827.75</v>
      </c>
      <c r="F561" t="str">
        <f>TEXT(Account_Data[[#This Row],[Date]],"mmm-yyyy")</f>
        <v>Jan-2026</v>
      </c>
      <c r="G561" t="str">
        <f>IF(Account_Data[[#This Row],[Credit]]&gt;0,"Income","Expense")</f>
        <v>Expense</v>
      </c>
      <c r="H5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1" s="3">
        <f>Account_Data[[#This Row],[Credit]]-Account_Data[[#This Row],[Debit]]</f>
        <v>-199</v>
      </c>
      <c r="J561" s="7">
        <f>EOMONTH(Account_Data[[#This Row],[Date]],0)</f>
        <v>46053</v>
      </c>
      <c r="K561">
        <f>ABS(Account_Data[[#This Row],[Amount]])</f>
        <v>199</v>
      </c>
    </row>
    <row r="562" spans="1:11" x14ac:dyDescent="0.35">
      <c r="A562" s="73">
        <v>46033</v>
      </c>
      <c r="B562" t="s">
        <v>320</v>
      </c>
      <c r="C562" s="3">
        <v>800</v>
      </c>
      <c r="E562" s="3">
        <v>1338027.75</v>
      </c>
      <c r="F562" t="str">
        <f>TEXT(Account_Data[[#This Row],[Date]],"mmm-yyyy")</f>
        <v>Jan-2026</v>
      </c>
      <c r="G562" t="str">
        <f>IF(Account_Data[[#This Row],[Credit]]&gt;0,"Income","Expense")</f>
        <v>Expense</v>
      </c>
      <c r="H5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2" s="3">
        <f>Account_Data[[#This Row],[Credit]]-Account_Data[[#This Row],[Debit]]</f>
        <v>-800</v>
      </c>
      <c r="J562" s="7">
        <f>EOMONTH(Account_Data[[#This Row],[Date]],0)</f>
        <v>46053</v>
      </c>
      <c r="K562">
        <f>ABS(Account_Data[[#This Row],[Amount]])</f>
        <v>800</v>
      </c>
    </row>
    <row r="563" spans="1:11" x14ac:dyDescent="0.35">
      <c r="A563" s="73">
        <v>46034</v>
      </c>
      <c r="B563" t="s">
        <v>198</v>
      </c>
      <c r="C563" s="3">
        <v>424</v>
      </c>
      <c r="E563" s="3">
        <v>1337603.75</v>
      </c>
      <c r="F563" t="str">
        <f>TEXT(Account_Data[[#This Row],[Date]],"mmm-yyyy")</f>
        <v>Jan-2026</v>
      </c>
      <c r="G563" t="str">
        <f>IF(Account_Data[[#This Row],[Credit]]&gt;0,"Income","Expense")</f>
        <v>Expense</v>
      </c>
      <c r="H5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3" s="3">
        <f>Account_Data[[#This Row],[Credit]]-Account_Data[[#This Row],[Debit]]</f>
        <v>-424</v>
      </c>
      <c r="J563" s="7">
        <f>EOMONTH(Account_Data[[#This Row],[Date]],0)</f>
        <v>46053</v>
      </c>
      <c r="K563">
        <f>ABS(Account_Data[[#This Row],[Amount]])</f>
        <v>424</v>
      </c>
    </row>
    <row r="564" spans="1:11" x14ac:dyDescent="0.35">
      <c r="A564" s="73">
        <v>46034</v>
      </c>
      <c r="B564" t="s">
        <v>343</v>
      </c>
      <c r="C564" s="3">
        <v>1700</v>
      </c>
      <c r="E564" s="3">
        <v>1335903.75</v>
      </c>
      <c r="F564" t="str">
        <f>TEXT(Account_Data[[#This Row],[Date]],"mmm-yyyy")</f>
        <v>Jan-2026</v>
      </c>
      <c r="G564" t="str">
        <f>IF(Account_Data[[#This Row],[Credit]]&gt;0,"Income","Expense")</f>
        <v>Expense</v>
      </c>
      <c r="H5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4" s="3">
        <f>Account_Data[[#This Row],[Credit]]-Account_Data[[#This Row],[Debit]]</f>
        <v>-1700</v>
      </c>
      <c r="J564" s="7">
        <f>EOMONTH(Account_Data[[#This Row],[Date]],0)</f>
        <v>46053</v>
      </c>
      <c r="K564">
        <f>ABS(Account_Data[[#This Row],[Amount]])</f>
        <v>1700</v>
      </c>
    </row>
    <row r="565" spans="1:11" x14ac:dyDescent="0.35">
      <c r="A565" s="73">
        <v>46035</v>
      </c>
      <c r="B565" t="s">
        <v>311</v>
      </c>
      <c r="C565" s="3">
        <v>300</v>
      </c>
      <c r="E565" s="3">
        <v>1335603.75</v>
      </c>
      <c r="F565" t="str">
        <f>TEXT(Account_Data[[#This Row],[Date]],"mmm-yyyy")</f>
        <v>Jan-2026</v>
      </c>
      <c r="G565" t="str">
        <f>IF(Account_Data[[#This Row],[Credit]]&gt;0,"Income","Expense")</f>
        <v>Expense</v>
      </c>
      <c r="H5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5" s="3">
        <f>Account_Data[[#This Row],[Credit]]-Account_Data[[#This Row],[Debit]]</f>
        <v>-300</v>
      </c>
      <c r="J565" s="7">
        <f>EOMONTH(Account_Data[[#This Row],[Date]],0)</f>
        <v>46053</v>
      </c>
      <c r="K565">
        <f>ABS(Account_Data[[#This Row],[Amount]])</f>
        <v>300</v>
      </c>
    </row>
    <row r="566" spans="1:11" x14ac:dyDescent="0.35">
      <c r="A566" s="73">
        <v>46035</v>
      </c>
      <c r="B566" t="s">
        <v>336</v>
      </c>
      <c r="C566" s="3">
        <v>1500</v>
      </c>
      <c r="E566" s="3">
        <v>1334103.75</v>
      </c>
      <c r="F566" t="str">
        <f>TEXT(Account_Data[[#This Row],[Date]],"mmm-yyyy")</f>
        <v>Jan-2026</v>
      </c>
      <c r="G566" t="str">
        <f>IF(Account_Data[[#This Row],[Credit]]&gt;0,"Income","Expense")</f>
        <v>Expense</v>
      </c>
      <c r="H5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6" s="3">
        <f>Account_Data[[#This Row],[Credit]]-Account_Data[[#This Row],[Debit]]</f>
        <v>-1500</v>
      </c>
      <c r="J566" s="7">
        <f>EOMONTH(Account_Data[[#This Row],[Date]],0)</f>
        <v>46053</v>
      </c>
      <c r="K566">
        <f>ABS(Account_Data[[#This Row],[Amount]])</f>
        <v>1500</v>
      </c>
    </row>
    <row r="567" spans="1:11" x14ac:dyDescent="0.35">
      <c r="A567" s="73">
        <v>46038</v>
      </c>
      <c r="B567" t="s">
        <v>326</v>
      </c>
      <c r="C567" s="3">
        <v>26000</v>
      </c>
      <c r="E567" s="3">
        <v>1308103.75</v>
      </c>
      <c r="F567" t="str">
        <f>TEXT(Account_Data[[#This Row],[Date]],"mmm-yyyy")</f>
        <v>Jan-2026</v>
      </c>
      <c r="G567" t="str">
        <f>IF(Account_Data[[#This Row],[Credit]]&gt;0,"Income","Expense")</f>
        <v>Expense</v>
      </c>
      <c r="H5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7" s="3">
        <f>Account_Data[[#This Row],[Credit]]-Account_Data[[#This Row],[Debit]]</f>
        <v>-26000</v>
      </c>
      <c r="J567" s="7">
        <f>EOMONTH(Account_Data[[#This Row],[Date]],0)</f>
        <v>46053</v>
      </c>
      <c r="K567">
        <f>ABS(Account_Data[[#This Row],[Amount]])</f>
        <v>26000</v>
      </c>
    </row>
    <row r="568" spans="1:11" x14ac:dyDescent="0.35">
      <c r="A568" s="73">
        <v>46038</v>
      </c>
      <c r="B568" t="s">
        <v>314</v>
      </c>
      <c r="C568" s="3">
        <v>12</v>
      </c>
      <c r="E568" s="3">
        <v>1308091.75</v>
      </c>
      <c r="F568" t="str">
        <f>TEXT(Account_Data[[#This Row],[Date]],"mmm-yyyy")</f>
        <v>Jan-2026</v>
      </c>
      <c r="G568" t="str">
        <f>IF(Account_Data[[#This Row],[Credit]]&gt;0,"Income","Expense")</f>
        <v>Expense</v>
      </c>
      <c r="H5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8" s="3">
        <f>Account_Data[[#This Row],[Credit]]-Account_Data[[#This Row],[Debit]]</f>
        <v>-12</v>
      </c>
      <c r="J568" s="7">
        <f>EOMONTH(Account_Data[[#This Row],[Date]],0)</f>
        <v>46053</v>
      </c>
      <c r="K568">
        <f>ABS(Account_Data[[#This Row],[Amount]])</f>
        <v>12</v>
      </c>
    </row>
    <row r="569" spans="1:11" x14ac:dyDescent="0.35">
      <c r="A569" s="73">
        <v>46038</v>
      </c>
      <c r="B569" t="s">
        <v>319</v>
      </c>
      <c r="C569" s="3">
        <v>500</v>
      </c>
      <c r="E569" s="3">
        <v>1307591.75</v>
      </c>
      <c r="F569" t="str">
        <f>TEXT(Account_Data[[#This Row],[Date]],"mmm-yyyy")</f>
        <v>Jan-2026</v>
      </c>
      <c r="G569" t="str">
        <f>IF(Account_Data[[#This Row],[Credit]]&gt;0,"Income","Expense")</f>
        <v>Expense</v>
      </c>
      <c r="H5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69" s="3">
        <f>Account_Data[[#This Row],[Credit]]-Account_Data[[#This Row],[Debit]]</f>
        <v>-500</v>
      </c>
      <c r="J569" s="7">
        <f>EOMONTH(Account_Data[[#This Row],[Date]],0)</f>
        <v>46053</v>
      </c>
      <c r="K569">
        <f>ABS(Account_Data[[#This Row],[Amount]])</f>
        <v>500</v>
      </c>
    </row>
    <row r="570" spans="1:11" x14ac:dyDescent="0.35">
      <c r="A570" s="73">
        <v>46039</v>
      </c>
      <c r="B570" t="s">
        <v>338</v>
      </c>
      <c r="C570" s="3">
        <v>11</v>
      </c>
      <c r="E570" s="3">
        <v>1307580.75</v>
      </c>
      <c r="F570" t="str">
        <f>TEXT(Account_Data[[#This Row],[Date]],"mmm-yyyy")</f>
        <v>Jan-2026</v>
      </c>
      <c r="G570" t="str">
        <f>IF(Account_Data[[#This Row],[Credit]]&gt;0,"Income","Expense")</f>
        <v>Expense</v>
      </c>
      <c r="H5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0" s="3">
        <f>Account_Data[[#This Row],[Credit]]-Account_Data[[#This Row],[Debit]]</f>
        <v>-11</v>
      </c>
      <c r="J570" s="7">
        <f>EOMONTH(Account_Data[[#This Row],[Date]],0)</f>
        <v>46053</v>
      </c>
      <c r="K570">
        <f>ABS(Account_Data[[#This Row],[Amount]])</f>
        <v>11</v>
      </c>
    </row>
    <row r="571" spans="1:11" x14ac:dyDescent="0.35">
      <c r="A571" s="73">
        <v>46039</v>
      </c>
      <c r="B571" t="s">
        <v>342</v>
      </c>
      <c r="C571" s="3">
        <v>870</v>
      </c>
      <c r="E571" s="3">
        <v>1306710.75</v>
      </c>
      <c r="F571" t="str">
        <f>TEXT(Account_Data[[#This Row],[Date]],"mmm-yyyy")</f>
        <v>Jan-2026</v>
      </c>
      <c r="G571" t="str">
        <f>IF(Account_Data[[#This Row],[Credit]]&gt;0,"Income","Expense")</f>
        <v>Expense</v>
      </c>
      <c r="H5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1" s="3">
        <f>Account_Data[[#This Row],[Credit]]-Account_Data[[#This Row],[Debit]]</f>
        <v>-870</v>
      </c>
      <c r="J571" s="7">
        <f>EOMONTH(Account_Data[[#This Row],[Date]],0)</f>
        <v>46053</v>
      </c>
      <c r="K571">
        <f>ABS(Account_Data[[#This Row],[Amount]])</f>
        <v>870</v>
      </c>
    </row>
    <row r="572" spans="1:11" x14ac:dyDescent="0.35">
      <c r="A572" s="73">
        <v>46040</v>
      </c>
      <c r="B572" t="s">
        <v>257</v>
      </c>
      <c r="C572" s="3">
        <v>9000</v>
      </c>
      <c r="E572" s="3">
        <v>1297710.75</v>
      </c>
      <c r="F572" t="str">
        <f>TEXT(Account_Data[[#This Row],[Date]],"mmm-yyyy")</f>
        <v>Jan-2026</v>
      </c>
      <c r="G572" t="str">
        <f>IF(Account_Data[[#This Row],[Credit]]&gt;0,"Income","Expense")</f>
        <v>Expense</v>
      </c>
      <c r="H5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572" s="3">
        <f>Account_Data[[#This Row],[Credit]]-Account_Data[[#This Row],[Debit]]</f>
        <v>-9000</v>
      </c>
      <c r="J572" s="7">
        <f>EOMONTH(Account_Data[[#This Row],[Date]],0)</f>
        <v>46053</v>
      </c>
      <c r="K572">
        <f>ABS(Account_Data[[#This Row],[Amount]])</f>
        <v>9000</v>
      </c>
    </row>
    <row r="573" spans="1:11" x14ac:dyDescent="0.35">
      <c r="A573" s="73">
        <v>46040</v>
      </c>
      <c r="B573" t="s">
        <v>319</v>
      </c>
      <c r="C573" s="3">
        <v>16500</v>
      </c>
      <c r="E573" s="3">
        <v>1281210.75</v>
      </c>
      <c r="F573" t="str">
        <f>TEXT(Account_Data[[#This Row],[Date]],"mmm-yyyy")</f>
        <v>Jan-2026</v>
      </c>
      <c r="G573" t="str">
        <f>IF(Account_Data[[#This Row],[Credit]]&gt;0,"Income","Expense")</f>
        <v>Expense</v>
      </c>
      <c r="H5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3" s="3">
        <f>Account_Data[[#This Row],[Credit]]-Account_Data[[#This Row],[Debit]]</f>
        <v>-16500</v>
      </c>
      <c r="J573" s="7">
        <f>EOMONTH(Account_Data[[#This Row],[Date]],0)</f>
        <v>46053</v>
      </c>
      <c r="K573">
        <f>ABS(Account_Data[[#This Row],[Amount]])</f>
        <v>16500</v>
      </c>
    </row>
    <row r="574" spans="1:11" x14ac:dyDescent="0.35">
      <c r="A574" s="73">
        <v>46041</v>
      </c>
      <c r="B574" t="s">
        <v>319</v>
      </c>
      <c r="C574" s="3">
        <v>2000</v>
      </c>
      <c r="E574" s="3">
        <v>1279210.75</v>
      </c>
      <c r="F574" t="str">
        <f>TEXT(Account_Data[[#This Row],[Date]],"mmm-yyyy")</f>
        <v>Jan-2026</v>
      </c>
      <c r="G574" t="str">
        <f>IF(Account_Data[[#This Row],[Credit]]&gt;0,"Income","Expense")</f>
        <v>Expense</v>
      </c>
      <c r="H5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4" s="3">
        <f>Account_Data[[#This Row],[Credit]]-Account_Data[[#This Row],[Debit]]</f>
        <v>-2000</v>
      </c>
      <c r="J574" s="7">
        <f>EOMONTH(Account_Data[[#This Row],[Date]],0)</f>
        <v>46053</v>
      </c>
      <c r="K574">
        <f>ABS(Account_Data[[#This Row],[Amount]])</f>
        <v>2000</v>
      </c>
    </row>
    <row r="575" spans="1:11" x14ac:dyDescent="0.35">
      <c r="A575" s="73">
        <v>46042</v>
      </c>
      <c r="B575" t="s">
        <v>337</v>
      </c>
      <c r="C575" s="3">
        <v>350</v>
      </c>
      <c r="E575" s="3">
        <v>1278860.75</v>
      </c>
      <c r="F575" t="str">
        <f>TEXT(Account_Data[[#This Row],[Date]],"mmm-yyyy")</f>
        <v>Jan-2026</v>
      </c>
      <c r="G575" t="str">
        <f>IF(Account_Data[[#This Row],[Credit]]&gt;0,"Income","Expense")</f>
        <v>Expense</v>
      </c>
      <c r="H5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5" s="3">
        <f>Account_Data[[#This Row],[Credit]]-Account_Data[[#This Row],[Debit]]</f>
        <v>-350</v>
      </c>
      <c r="J575" s="7">
        <f>EOMONTH(Account_Data[[#This Row],[Date]],0)</f>
        <v>46053</v>
      </c>
      <c r="K575">
        <f>ABS(Account_Data[[#This Row],[Amount]])</f>
        <v>350</v>
      </c>
    </row>
    <row r="576" spans="1:11" x14ac:dyDescent="0.35">
      <c r="A576" s="73">
        <v>46042</v>
      </c>
      <c r="B576" t="s">
        <v>338</v>
      </c>
      <c r="C576" s="3">
        <v>12</v>
      </c>
      <c r="E576" s="3">
        <v>1278848.75</v>
      </c>
      <c r="F576" t="str">
        <f>TEXT(Account_Data[[#This Row],[Date]],"mmm-yyyy")</f>
        <v>Jan-2026</v>
      </c>
      <c r="G576" t="str">
        <f>IF(Account_Data[[#This Row],[Credit]]&gt;0,"Income","Expense")</f>
        <v>Expense</v>
      </c>
      <c r="H5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6" s="3">
        <f>Account_Data[[#This Row],[Credit]]-Account_Data[[#This Row],[Debit]]</f>
        <v>-12</v>
      </c>
      <c r="J576" s="7">
        <f>EOMONTH(Account_Data[[#This Row],[Date]],0)</f>
        <v>46053</v>
      </c>
      <c r="K576">
        <f>ABS(Account_Data[[#This Row],[Amount]])</f>
        <v>12</v>
      </c>
    </row>
    <row r="577" spans="1:11" x14ac:dyDescent="0.35">
      <c r="A577" s="73">
        <v>46042</v>
      </c>
      <c r="B577" t="s">
        <v>314</v>
      </c>
      <c r="C577" s="3">
        <v>12</v>
      </c>
      <c r="E577" s="3">
        <v>1278836.75</v>
      </c>
      <c r="F577" t="str">
        <f>TEXT(Account_Data[[#This Row],[Date]],"mmm-yyyy")</f>
        <v>Jan-2026</v>
      </c>
      <c r="G577" t="str">
        <f>IF(Account_Data[[#This Row],[Credit]]&gt;0,"Income","Expense")</f>
        <v>Expense</v>
      </c>
      <c r="H5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7" s="3">
        <f>Account_Data[[#This Row],[Credit]]-Account_Data[[#This Row],[Debit]]</f>
        <v>-12</v>
      </c>
      <c r="J577" s="7">
        <f>EOMONTH(Account_Data[[#This Row],[Date]],0)</f>
        <v>46053</v>
      </c>
      <c r="K577">
        <f>ABS(Account_Data[[#This Row],[Amount]])</f>
        <v>12</v>
      </c>
    </row>
    <row r="578" spans="1:11" x14ac:dyDescent="0.35">
      <c r="A578" s="73">
        <v>46043</v>
      </c>
      <c r="B578" t="s">
        <v>338</v>
      </c>
      <c r="C578" s="3">
        <v>11</v>
      </c>
      <c r="E578" s="3">
        <v>1278825.75</v>
      </c>
      <c r="F578" t="str">
        <f>TEXT(Account_Data[[#This Row],[Date]],"mmm-yyyy")</f>
        <v>Jan-2026</v>
      </c>
      <c r="G578" t="str">
        <f>IF(Account_Data[[#This Row],[Credit]]&gt;0,"Income","Expense")</f>
        <v>Expense</v>
      </c>
      <c r="H5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8" s="3">
        <f>Account_Data[[#This Row],[Credit]]-Account_Data[[#This Row],[Debit]]</f>
        <v>-11</v>
      </c>
      <c r="J578" s="7">
        <f>EOMONTH(Account_Data[[#This Row],[Date]],0)</f>
        <v>46053</v>
      </c>
      <c r="K578">
        <f>ABS(Account_Data[[#This Row],[Amount]])</f>
        <v>11</v>
      </c>
    </row>
    <row r="579" spans="1:11" x14ac:dyDescent="0.35">
      <c r="A579" s="73">
        <v>46043</v>
      </c>
      <c r="B579" t="s">
        <v>344</v>
      </c>
      <c r="C579" s="3">
        <v>730</v>
      </c>
      <c r="E579" s="3">
        <v>1278095.75</v>
      </c>
      <c r="F579" t="str">
        <f>TEXT(Account_Data[[#This Row],[Date]],"mmm-yyyy")</f>
        <v>Jan-2026</v>
      </c>
      <c r="G579" t="str">
        <f>IF(Account_Data[[#This Row],[Credit]]&gt;0,"Income","Expense")</f>
        <v>Expense</v>
      </c>
      <c r="H5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79" s="3">
        <f>Account_Data[[#This Row],[Credit]]-Account_Data[[#This Row],[Debit]]</f>
        <v>-730</v>
      </c>
      <c r="J579" s="7">
        <f>EOMONTH(Account_Data[[#This Row],[Date]],0)</f>
        <v>46053</v>
      </c>
      <c r="K579">
        <f>ABS(Account_Data[[#This Row],[Amount]])</f>
        <v>730</v>
      </c>
    </row>
    <row r="580" spans="1:11" x14ac:dyDescent="0.35">
      <c r="A580" s="73">
        <v>46044</v>
      </c>
      <c r="B580" t="s">
        <v>338</v>
      </c>
      <c r="C580" s="3">
        <v>11</v>
      </c>
      <c r="E580" s="3">
        <v>1278084.75</v>
      </c>
      <c r="F580" t="str">
        <f>TEXT(Account_Data[[#This Row],[Date]],"mmm-yyyy")</f>
        <v>Jan-2026</v>
      </c>
      <c r="G580" t="str">
        <f>IF(Account_Data[[#This Row],[Credit]]&gt;0,"Income","Expense")</f>
        <v>Expense</v>
      </c>
      <c r="H5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80" s="3">
        <f>Account_Data[[#This Row],[Credit]]-Account_Data[[#This Row],[Debit]]</f>
        <v>-11</v>
      </c>
      <c r="J580" s="7">
        <f>EOMONTH(Account_Data[[#This Row],[Date]],0)</f>
        <v>46053</v>
      </c>
      <c r="K580">
        <f>ABS(Account_Data[[#This Row],[Amount]])</f>
        <v>11</v>
      </c>
    </row>
    <row r="581" spans="1:11" x14ac:dyDescent="0.35">
      <c r="A581" s="73">
        <v>46044</v>
      </c>
      <c r="B581" t="s">
        <v>314</v>
      </c>
      <c r="C581" s="3">
        <v>13</v>
      </c>
      <c r="E581" s="3">
        <v>1278071.75</v>
      </c>
      <c r="F581" t="str">
        <f>TEXT(Account_Data[[#This Row],[Date]],"mmm-yyyy")</f>
        <v>Jan-2026</v>
      </c>
      <c r="G581" t="str">
        <f>IF(Account_Data[[#This Row],[Credit]]&gt;0,"Income","Expense")</f>
        <v>Expense</v>
      </c>
      <c r="H5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81" s="3">
        <f>Account_Data[[#This Row],[Credit]]-Account_Data[[#This Row],[Debit]]</f>
        <v>-13</v>
      </c>
      <c r="J581" s="7">
        <f>EOMONTH(Account_Data[[#This Row],[Date]],0)</f>
        <v>46053</v>
      </c>
      <c r="K581">
        <f>ABS(Account_Data[[#This Row],[Amount]])</f>
        <v>13</v>
      </c>
    </row>
    <row r="582" spans="1:11" x14ac:dyDescent="0.35">
      <c r="A582" s="73">
        <v>46045</v>
      </c>
      <c r="B582" t="s">
        <v>240</v>
      </c>
      <c r="C582" s="3">
        <v>70</v>
      </c>
      <c r="E582" s="3">
        <v>1278001.75</v>
      </c>
      <c r="F582" t="str">
        <f>TEXT(Account_Data[[#This Row],[Date]],"mmm-yyyy")</f>
        <v>Jan-2026</v>
      </c>
      <c r="G582" t="str">
        <f>IF(Account_Data[[#This Row],[Credit]]&gt;0,"Income","Expense")</f>
        <v>Expense</v>
      </c>
      <c r="H5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82" s="3">
        <f>Account_Data[[#This Row],[Credit]]-Account_Data[[#This Row],[Debit]]</f>
        <v>-70</v>
      </c>
      <c r="J582" s="7">
        <f>EOMONTH(Account_Data[[#This Row],[Date]],0)</f>
        <v>46053</v>
      </c>
      <c r="K582">
        <f>ABS(Account_Data[[#This Row],[Amount]])</f>
        <v>70</v>
      </c>
    </row>
    <row r="583" spans="1:11" x14ac:dyDescent="0.35">
      <c r="A583" s="73">
        <v>46047</v>
      </c>
      <c r="B583" t="s">
        <v>130</v>
      </c>
      <c r="D583" s="3">
        <v>5000</v>
      </c>
      <c r="E583" s="3">
        <v>1283001.75</v>
      </c>
      <c r="F583" t="str">
        <f>TEXT(Account_Data[[#This Row],[Date]],"mmm-yyyy")</f>
        <v>Jan-2026</v>
      </c>
      <c r="G583" t="str">
        <f>IF(Account_Data[[#This Row],[Credit]]&gt;0,"Income","Expense")</f>
        <v>Income</v>
      </c>
      <c r="H5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83" s="3">
        <f>Account_Data[[#This Row],[Credit]]-Account_Data[[#This Row],[Debit]]</f>
        <v>5000</v>
      </c>
      <c r="J583" s="7">
        <f>EOMONTH(Account_Data[[#This Row],[Date]],0)</f>
        <v>46053</v>
      </c>
      <c r="K583">
        <f>ABS(Account_Data[[#This Row],[Amount]])</f>
        <v>5000</v>
      </c>
    </row>
    <row r="584" spans="1:11" x14ac:dyDescent="0.35">
      <c r="A584" s="73">
        <v>46047</v>
      </c>
      <c r="B584" t="s">
        <v>257</v>
      </c>
      <c r="C584" s="3">
        <v>20000</v>
      </c>
      <c r="E584" s="3">
        <v>1263001.75</v>
      </c>
      <c r="F584" t="str">
        <f>TEXT(Account_Data[[#This Row],[Date]],"mmm-yyyy")</f>
        <v>Jan-2026</v>
      </c>
      <c r="G584" t="str">
        <f>IF(Account_Data[[#This Row],[Credit]]&gt;0,"Income","Expense")</f>
        <v>Expense</v>
      </c>
      <c r="H5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584" s="3">
        <f>Account_Data[[#This Row],[Credit]]-Account_Data[[#This Row],[Debit]]</f>
        <v>-20000</v>
      </c>
      <c r="J584" s="7">
        <f>EOMONTH(Account_Data[[#This Row],[Date]],0)</f>
        <v>46053</v>
      </c>
      <c r="K584">
        <f>ABS(Account_Data[[#This Row],[Amount]])</f>
        <v>20000</v>
      </c>
    </row>
    <row r="585" spans="1:11" x14ac:dyDescent="0.35">
      <c r="A585" s="73">
        <v>46049</v>
      </c>
      <c r="B585" t="s">
        <v>497</v>
      </c>
      <c r="D585" s="3">
        <v>116002</v>
      </c>
      <c r="E585" s="3">
        <v>1379003.75</v>
      </c>
      <c r="F585" t="str">
        <f>TEXT(Account_Data[[#This Row],[Date]],"mmm-yyyy")</f>
        <v>Jan-2026</v>
      </c>
      <c r="G585" t="str">
        <f>IF(Account_Data[[#This Row],[Credit]]&gt;0,"Income","Expense")</f>
        <v>Income</v>
      </c>
      <c r="H5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585" s="3">
        <f>Account_Data[[#This Row],[Credit]]-Account_Data[[#This Row],[Debit]]</f>
        <v>116002</v>
      </c>
      <c r="J585" s="7">
        <f>EOMONTH(Account_Data[[#This Row],[Date]],0)</f>
        <v>46053</v>
      </c>
      <c r="K585">
        <f>ABS(Account_Data[[#This Row],[Amount]])</f>
        <v>116002</v>
      </c>
    </row>
    <row r="586" spans="1:11" x14ac:dyDescent="0.35">
      <c r="A586" s="73">
        <v>46050</v>
      </c>
      <c r="B586" t="s">
        <v>99</v>
      </c>
      <c r="C586" s="3">
        <v>1000</v>
      </c>
      <c r="E586" s="3">
        <v>1378003.75</v>
      </c>
      <c r="F586" t="str">
        <f>TEXT(Account_Data[[#This Row],[Date]],"mmm-yyyy")</f>
        <v>Jan-2026</v>
      </c>
      <c r="G586" t="str">
        <f>IF(Account_Data[[#This Row],[Credit]]&gt;0,"Income","Expense")</f>
        <v>Expense</v>
      </c>
      <c r="H5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586" s="3">
        <f>Account_Data[[#This Row],[Credit]]-Account_Data[[#This Row],[Debit]]</f>
        <v>-1000</v>
      </c>
      <c r="J586" s="7">
        <f>EOMONTH(Account_Data[[#This Row],[Date]],0)</f>
        <v>46053</v>
      </c>
      <c r="K586">
        <f>ABS(Account_Data[[#This Row],[Amount]])</f>
        <v>1000</v>
      </c>
    </row>
    <row r="587" spans="1:11" x14ac:dyDescent="0.35">
      <c r="A587" s="73">
        <v>46052</v>
      </c>
      <c r="B587" t="s">
        <v>342</v>
      </c>
      <c r="C587" s="3">
        <v>995</v>
      </c>
      <c r="E587" s="3">
        <v>1377008.75</v>
      </c>
      <c r="F587" t="str">
        <f>TEXT(Account_Data[[#This Row],[Date]],"mmm-yyyy")</f>
        <v>Jan-2026</v>
      </c>
      <c r="G587" t="str">
        <f>IF(Account_Data[[#This Row],[Credit]]&gt;0,"Income","Expense")</f>
        <v>Expense</v>
      </c>
      <c r="H5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87" s="3">
        <f>Account_Data[[#This Row],[Credit]]-Account_Data[[#This Row],[Debit]]</f>
        <v>-995</v>
      </c>
      <c r="J587" s="7">
        <f>EOMONTH(Account_Data[[#This Row],[Date]],0)</f>
        <v>46053</v>
      </c>
      <c r="K587">
        <f>ABS(Account_Data[[#This Row],[Amount]])</f>
        <v>995</v>
      </c>
    </row>
    <row r="588" spans="1:11" x14ac:dyDescent="0.35">
      <c r="A588" s="73">
        <v>46053</v>
      </c>
      <c r="B588" t="s">
        <v>334</v>
      </c>
      <c r="C588" s="3">
        <v>850</v>
      </c>
      <c r="E588" s="3">
        <v>1376158.75</v>
      </c>
      <c r="F588" t="str">
        <f>TEXT(Account_Data[[#This Row],[Date]],"mmm-yyyy")</f>
        <v>Jan-2026</v>
      </c>
      <c r="G588" t="str">
        <f>IF(Account_Data[[#This Row],[Credit]]&gt;0,"Income","Expense")</f>
        <v>Expense</v>
      </c>
      <c r="H5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88" s="3">
        <f>Account_Data[[#This Row],[Credit]]-Account_Data[[#This Row],[Debit]]</f>
        <v>-850</v>
      </c>
      <c r="J588" s="7">
        <f>EOMONTH(Account_Data[[#This Row],[Date]],0)</f>
        <v>46053</v>
      </c>
      <c r="K588">
        <f>ABS(Account_Data[[#This Row],[Amount]])</f>
        <v>850</v>
      </c>
    </row>
    <row r="589" spans="1:11" x14ac:dyDescent="0.35">
      <c r="A589" s="73">
        <v>46054</v>
      </c>
      <c r="B589" t="s">
        <v>90</v>
      </c>
      <c r="C589" s="3">
        <v>1000</v>
      </c>
      <c r="E589" s="3">
        <v>1375158.75</v>
      </c>
      <c r="F589" t="str">
        <f>TEXT(Account_Data[[#This Row],[Date]],"mmm-yyyy")</f>
        <v>Feb-2026</v>
      </c>
      <c r="G589" t="str">
        <f>IF(Account_Data[[#This Row],[Credit]]&gt;0,"Income","Expense")</f>
        <v>Expense</v>
      </c>
      <c r="H5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589" s="3">
        <f>Account_Data[[#This Row],[Credit]]-Account_Data[[#This Row],[Debit]]</f>
        <v>-1000</v>
      </c>
      <c r="J589" s="7">
        <f>EOMONTH(Account_Data[[#This Row],[Date]],0)</f>
        <v>46081</v>
      </c>
      <c r="K589">
        <f>ABS(Account_Data[[#This Row],[Amount]])</f>
        <v>1000</v>
      </c>
    </row>
    <row r="590" spans="1:11" x14ac:dyDescent="0.35">
      <c r="A590" s="73">
        <v>46054</v>
      </c>
      <c r="B590" t="s">
        <v>145</v>
      </c>
      <c r="C590" s="3">
        <v>10000</v>
      </c>
      <c r="E590" s="3">
        <v>1365158.75</v>
      </c>
      <c r="F590" t="str">
        <f>TEXT(Account_Data[[#This Row],[Date]],"mmm-yyyy")</f>
        <v>Feb-2026</v>
      </c>
      <c r="G590" t="str">
        <f>IF(Account_Data[[#This Row],[Credit]]&gt;0,"Income","Expense")</f>
        <v>Expense</v>
      </c>
      <c r="H5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90" s="3">
        <f>Account_Data[[#This Row],[Credit]]-Account_Data[[#This Row],[Debit]]</f>
        <v>-10000</v>
      </c>
      <c r="J590" s="7">
        <f>EOMONTH(Account_Data[[#This Row],[Date]],0)</f>
        <v>46081</v>
      </c>
      <c r="K590">
        <f>ABS(Account_Data[[#This Row],[Amount]])</f>
        <v>10000</v>
      </c>
    </row>
    <row r="591" spans="1:11" x14ac:dyDescent="0.35">
      <c r="A591" s="73">
        <v>46054</v>
      </c>
      <c r="B591" t="s">
        <v>345</v>
      </c>
      <c r="C591" s="3">
        <v>400</v>
      </c>
      <c r="E591" s="3">
        <v>1364758.75</v>
      </c>
      <c r="F591" t="str">
        <f>TEXT(Account_Data[[#This Row],[Date]],"mmm-yyyy")</f>
        <v>Feb-2026</v>
      </c>
      <c r="G591" t="str">
        <f>IF(Account_Data[[#This Row],[Credit]]&gt;0,"Income","Expense")</f>
        <v>Expense</v>
      </c>
      <c r="H5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91" s="3">
        <f>Account_Data[[#This Row],[Credit]]-Account_Data[[#This Row],[Debit]]</f>
        <v>-400</v>
      </c>
      <c r="J591" s="7">
        <f>EOMONTH(Account_Data[[#This Row],[Date]],0)</f>
        <v>46081</v>
      </c>
      <c r="K591">
        <f>ABS(Account_Data[[#This Row],[Amount]])</f>
        <v>400</v>
      </c>
    </row>
    <row r="592" spans="1:11" x14ac:dyDescent="0.35">
      <c r="A592" s="73">
        <v>46055</v>
      </c>
      <c r="B592" t="s">
        <v>89</v>
      </c>
      <c r="C592" s="3">
        <v>2000</v>
      </c>
      <c r="E592" s="3">
        <v>1362758.75</v>
      </c>
      <c r="F592" t="str">
        <f>TEXT(Account_Data[[#This Row],[Date]],"mmm-yyyy")</f>
        <v>Feb-2026</v>
      </c>
      <c r="G592" t="str">
        <f>IF(Account_Data[[#This Row],[Credit]]&gt;0,"Income","Expense")</f>
        <v>Expense</v>
      </c>
      <c r="H5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2" s="3">
        <f>Account_Data[[#This Row],[Credit]]-Account_Data[[#This Row],[Debit]]</f>
        <v>-2000</v>
      </c>
      <c r="J592" s="7">
        <f>EOMONTH(Account_Data[[#This Row],[Date]],0)</f>
        <v>46081</v>
      </c>
      <c r="K592">
        <f>ABS(Account_Data[[#This Row],[Amount]])</f>
        <v>2000</v>
      </c>
    </row>
    <row r="593" spans="1:11" x14ac:dyDescent="0.35">
      <c r="A593" s="73">
        <v>46055</v>
      </c>
      <c r="B593" t="s">
        <v>89</v>
      </c>
      <c r="C593" s="3">
        <v>3000</v>
      </c>
      <c r="E593" s="3">
        <v>1359758.75</v>
      </c>
      <c r="F593" t="str">
        <f>TEXT(Account_Data[[#This Row],[Date]],"mmm-yyyy")</f>
        <v>Feb-2026</v>
      </c>
      <c r="G593" t="str">
        <f>IF(Account_Data[[#This Row],[Credit]]&gt;0,"Income","Expense")</f>
        <v>Expense</v>
      </c>
      <c r="H5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3" s="3">
        <f>Account_Data[[#This Row],[Credit]]-Account_Data[[#This Row],[Debit]]</f>
        <v>-3000</v>
      </c>
      <c r="J593" s="7">
        <f>EOMONTH(Account_Data[[#This Row],[Date]],0)</f>
        <v>46081</v>
      </c>
      <c r="K593">
        <f>ABS(Account_Data[[#This Row],[Amount]])</f>
        <v>3000</v>
      </c>
    </row>
    <row r="594" spans="1:11" x14ac:dyDescent="0.35">
      <c r="A594" s="73">
        <v>46055</v>
      </c>
      <c r="B594" t="s">
        <v>89</v>
      </c>
      <c r="C594" s="3">
        <v>2000</v>
      </c>
      <c r="E594" s="3">
        <v>1357758.75</v>
      </c>
      <c r="F594" t="str">
        <f>TEXT(Account_Data[[#This Row],[Date]],"mmm-yyyy")</f>
        <v>Feb-2026</v>
      </c>
      <c r="G594" t="str">
        <f>IF(Account_Data[[#This Row],[Credit]]&gt;0,"Income","Expense")</f>
        <v>Expense</v>
      </c>
      <c r="H5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4" s="3">
        <f>Account_Data[[#This Row],[Credit]]-Account_Data[[#This Row],[Debit]]</f>
        <v>-2000</v>
      </c>
      <c r="J594" s="7">
        <f>EOMONTH(Account_Data[[#This Row],[Date]],0)</f>
        <v>46081</v>
      </c>
      <c r="K594">
        <f>ABS(Account_Data[[#This Row],[Amount]])</f>
        <v>2000</v>
      </c>
    </row>
    <row r="595" spans="1:11" x14ac:dyDescent="0.35">
      <c r="A595" s="73">
        <v>46055</v>
      </c>
      <c r="B595" t="s">
        <v>89</v>
      </c>
      <c r="C595" s="3">
        <v>5000</v>
      </c>
      <c r="E595" s="3">
        <v>1352758.75</v>
      </c>
      <c r="F595" t="str">
        <f>TEXT(Account_Data[[#This Row],[Date]],"mmm-yyyy")</f>
        <v>Feb-2026</v>
      </c>
      <c r="G595" t="str">
        <f>IF(Account_Data[[#This Row],[Credit]]&gt;0,"Income","Expense")</f>
        <v>Expense</v>
      </c>
      <c r="H5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5" s="3">
        <f>Account_Data[[#This Row],[Credit]]-Account_Data[[#This Row],[Debit]]</f>
        <v>-5000</v>
      </c>
      <c r="J595" s="7">
        <f>EOMONTH(Account_Data[[#This Row],[Date]],0)</f>
        <v>46081</v>
      </c>
      <c r="K595">
        <f>ABS(Account_Data[[#This Row],[Amount]])</f>
        <v>5000</v>
      </c>
    </row>
    <row r="596" spans="1:11" x14ac:dyDescent="0.35">
      <c r="A596" s="73">
        <v>46055</v>
      </c>
      <c r="B596" t="s">
        <v>89</v>
      </c>
      <c r="C596" s="3">
        <v>2000</v>
      </c>
      <c r="E596" s="3">
        <v>1350758.75</v>
      </c>
      <c r="F596" t="str">
        <f>TEXT(Account_Data[[#This Row],[Date]],"mmm-yyyy")</f>
        <v>Feb-2026</v>
      </c>
      <c r="G596" t="str">
        <f>IF(Account_Data[[#This Row],[Credit]]&gt;0,"Income","Expense")</f>
        <v>Expense</v>
      </c>
      <c r="H5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6" s="3">
        <f>Account_Data[[#This Row],[Credit]]-Account_Data[[#This Row],[Debit]]</f>
        <v>-2000</v>
      </c>
      <c r="J596" s="7">
        <f>EOMONTH(Account_Data[[#This Row],[Date]],0)</f>
        <v>46081</v>
      </c>
      <c r="K596">
        <f>ABS(Account_Data[[#This Row],[Amount]])</f>
        <v>2000</v>
      </c>
    </row>
    <row r="597" spans="1:11" x14ac:dyDescent="0.35">
      <c r="A597" s="73">
        <v>46055</v>
      </c>
      <c r="B597" t="s">
        <v>91</v>
      </c>
      <c r="C597" s="3">
        <v>7717</v>
      </c>
      <c r="E597" s="3">
        <v>1343041.75</v>
      </c>
      <c r="F597" t="str">
        <f>TEXT(Account_Data[[#This Row],[Date]],"mmm-yyyy")</f>
        <v>Feb-2026</v>
      </c>
      <c r="G597" t="str">
        <f>IF(Account_Data[[#This Row],[Credit]]&gt;0,"Income","Expense")</f>
        <v>Expense</v>
      </c>
      <c r="H5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7" s="3">
        <f>Account_Data[[#This Row],[Credit]]-Account_Data[[#This Row],[Debit]]</f>
        <v>-7717</v>
      </c>
      <c r="J597" s="7">
        <f>EOMONTH(Account_Data[[#This Row],[Date]],0)</f>
        <v>46081</v>
      </c>
      <c r="K597">
        <f>ABS(Account_Data[[#This Row],[Amount]])</f>
        <v>7717</v>
      </c>
    </row>
    <row r="598" spans="1:11" x14ac:dyDescent="0.35">
      <c r="A598" s="73">
        <v>46055</v>
      </c>
      <c r="B598" t="s">
        <v>91</v>
      </c>
      <c r="C598" s="3">
        <v>8704</v>
      </c>
      <c r="E598" s="3">
        <v>1334337.75</v>
      </c>
      <c r="F598" t="str">
        <f>TEXT(Account_Data[[#This Row],[Date]],"mmm-yyyy")</f>
        <v>Feb-2026</v>
      </c>
      <c r="G598" t="str">
        <f>IF(Account_Data[[#This Row],[Credit]]&gt;0,"Income","Expense")</f>
        <v>Expense</v>
      </c>
      <c r="H5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598" s="3">
        <f>Account_Data[[#This Row],[Credit]]-Account_Data[[#This Row],[Debit]]</f>
        <v>-8704</v>
      </c>
      <c r="J598" s="7">
        <f>EOMONTH(Account_Data[[#This Row],[Date]],0)</f>
        <v>46081</v>
      </c>
      <c r="K598">
        <f>ABS(Account_Data[[#This Row],[Amount]])</f>
        <v>8704</v>
      </c>
    </row>
    <row r="599" spans="1:11" x14ac:dyDescent="0.35">
      <c r="A599" s="73">
        <v>46055</v>
      </c>
      <c r="B599" t="s">
        <v>248</v>
      </c>
      <c r="C599" s="3">
        <v>174</v>
      </c>
      <c r="E599" s="3">
        <v>1334163.75</v>
      </c>
      <c r="F599" t="str">
        <f>TEXT(Account_Data[[#This Row],[Date]],"mmm-yyyy")</f>
        <v>Feb-2026</v>
      </c>
      <c r="G599" t="str">
        <f>IF(Account_Data[[#This Row],[Credit]]&gt;0,"Income","Expense")</f>
        <v>Expense</v>
      </c>
      <c r="H5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599" s="3">
        <f>Account_Data[[#This Row],[Credit]]-Account_Data[[#This Row],[Debit]]</f>
        <v>-174</v>
      </c>
      <c r="J599" s="7">
        <f>EOMONTH(Account_Data[[#This Row],[Date]],0)</f>
        <v>46081</v>
      </c>
      <c r="K599">
        <f>ABS(Account_Data[[#This Row],[Amount]])</f>
        <v>174</v>
      </c>
    </row>
    <row r="600" spans="1:11" x14ac:dyDescent="0.35">
      <c r="A600" s="73">
        <v>46055</v>
      </c>
      <c r="B600" t="s">
        <v>90</v>
      </c>
      <c r="C600" s="3">
        <v>1500</v>
      </c>
      <c r="E600" s="3">
        <v>1332663.75</v>
      </c>
      <c r="F600" t="str">
        <f>TEXT(Account_Data[[#This Row],[Date]],"mmm-yyyy")</f>
        <v>Feb-2026</v>
      </c>
      <c r="G600" t="str">
        <f>IF(Account_Data[[#This Row],[Credit]]&gt;0,"Income","Expense")</f>
        <v>Expense</v>
      </c>
      <c r="H6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600" s="3">
        <f>Account_Data[[#This Row],[Credit]]-Account_Data[[#This Row],[Debit]]</f>
        <v>-1500</v>
      </c>
      <c r="J600" s="7">
        <f>EOMONTH(Account_Data[[#This Row],[Date]],0)</f>
        <v>46081</v>
      </c>
      <c r="K600">
        <f>ABS(Account_Data[[#This Row],[Amount]])</f>
        <v>1500</v>
      </c>
    </row>
    <row r="601" spans="1:11" x14ac:dyDescent="0.35">
      <c r="A601" s="73">
        <v>46055</v>
      </c>
      <c r="B601" t="s">
        <v>344</v>
      </c>
      <c r="C601" s="3">
        <v>980</v>
      </c>
      <c r="E601" s="3">
        <v>1331683.75</v>
      </c>
      <c r="F601" t="str">
        <f>TEXT(Account_Data[[#This Row],[Date]],"mmm-yyyy")</f>
        <v>Feb-2026</v>
      </c>
      <c r="G601" t="str">
        <f>IF(Account_Data[[#This Row],[Credit]]&gt;0,"Income","Expense")</f>
        <v>Expense</v>
      </c>
      <c r="H6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01" s="3">
        <f>Account_Data[[#This Row],[Credit]]-Account_Data[[#This Row],[Debit]]</f>
        <v>-980</v>
      </c>
      <c r="J601" s="7">
        <f>EOMONTH(Account_Data[[#This Row],[Date]],0)</f>
        <v>46081</v>
      </c>
      <c r="K601">
        <f>ABS(Account_Data[[#This Row],[Amount]])</f>
        <v>980</v>
      </c>
    </row>
    <row r="602" spans="1:11" x14ac:dyDescent="0.35">
      <c r="A602" s="73">
        <v>46055</v>
      </c>
      <c r="B602" t="s">
        <v>257</v>
      </c>
      <c r="C602" s="3">
        <v>20000</v>
      </c>
      <c r="E602" s="3">
        <v>1311683.75</v>
      </c>
      <c r="F602" t="str">
        <f>TEXT(Account_Data[[#This Row],[Date]],"mmm-yyyy")</f>
        <v>Feb-2026</v>
      </c>
      <c r="G602" t="str">
        <f>IF(Account_Data[[#This Row],[Credit]]&gt;0,"Income","Expense")</f>
        <v>Expense</v>
      </c>
      <c r="H6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02" s="3">
        <f>Account_Data[[#This Row],[Credit]]-Account_Data[[#This Row],[Debit]]</f>
        <v>-20000</v>
      </c>
      <c r="J602" s="7">
        <f>EOMONTH(Account_Data[[#This Row],[Date]],0)</f>
        <v>46081</v>
      </c>
      <c r="K602">
        <f>ABS(Account_Data[[#This Row],[Amount]])</f>
        <v>20000</v>
      </c>
    </row>
    <row r="603" spans="1:11" x14ac:dyDescent="0.35">
      <c r="A603" s="73">
        <v>46056</v>
      </c>
      <c r="B603" t="s">
        <v>89</v>
      </c>
      <c r="C603" s="3">
        <v>10000</v>
      </c>
      <c r="E603" s="3">
        <v>1301683.75</v>
      </c>
      <c r="F603" t="str">
        <f>TEXT(Account_Data[[#This Row],[Date]],"mmm-yyyy")</f>
        <v>Feb-2026</v>
      </c>
      <c r="G603" t="str">
        <f>IF(Account_Data[[#This Row],[Credit]]&gt;0,"Income","Expense")</f>
        <v>Expense</v>
      </c>
      <c r="H6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03" s="3">
        <f>Account_Data[[#This Row],[Credit]]-Account_Data[[#This Row],[Debit]]</f>
        <v>-10000</v>
      </c>
      <c r="J603" s="7">
        <f>EOMONTH(Account_Data[[#This Row],[Date]],0)</f>
        <v>46081</v>
      </c>
      <c r="K603">
        <f>ABS(Account_Data[[#This Row],[Amount]])</f>
        <v>10000</v>
      </c>
    </row>
    <row r="604" spans="1:11" x14ac:dyDescent="0.35">
      <c r="A604" s="73">
        <v>46057</v>
      </c>
      <c r="B604" t="s">
        <v>91</v>
      </c>
      <c r="C604" s="3">
        <v>60700</v>
      </c>
      <c r="E604" s="3">
        <v>1240983.75</v>
      </c>
      <c r="F604" t="str">
        <f>TEXT(Account_Data[[#This Row],[Date]],"mmm-yyyy")</f>
        <v>Feb-2026</v>
      </c>
      <c r="G604" t="str">
        <f>IF(Account_Data[[#This Row],[Credit]]&gt;0,"Income","Expense")</f>
        <v>Expense</v>
      </c>
      <c r="H6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04" s="3">
        <f>Account_Data[[#This Row],[Credit]]-Account_Data[[#This Row],[Debit]]</f>
        <v>-60700</v>
      </c>
      <c r="J604" s="7">
        <f>EOMONTH(Account_Data[[#This Row],[Date]],0)</f>
        <v>46081</v>
      </c>
      <c r="K604">
        <f>ABS(Account_Data[[#This Row],[Amount]])</f>
        <v>60700</v>
      </c>
    </row>
    <row r="605" spans="1:11" x14ac:dyDescent="0.35">
      <c r="A605" s="73">
        <v>46057</v>
      </c>
      <c r="B605" t="s">
        <v>91</v>
      </c>
      <c r="C605" s="3">
        <v>6280</v>
      </c>
      <c r="E605" s="3">
        <v>1234703.75</v>
      </c>
      <c r="F605" t="str">
        <f>TEXT(Account_Data[[#This Row],[Date]],"mmm-yyyy")</f>
        <v>Feb-2026</v>
      </c>
      <c r="G605" t="str">
        <f>IF(Account_Data[[#This Row],[Credit]]&gt;0,"Income","Expense")</f>
        <v>Expense</v>
      </c>
      <c r="H6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05" s="3">
        <f>Account_Data[[#This Row],[Credit]]-Account_Data[[#This Row],[Debit]]</f>
        <v>-6280</v>
      </c>
      <c r="J605" s="7">
        <f>EOMONTH(Account_Data[[#This Row],[Date]],0)</f>
        <v>46081</v>
      </c>
      <c r="K605">
        <f>ABS(Account_Data[[#This Row],[Amount]])</f>
        <v>6280</v>
      </c>
    </row>
    <row r="606" spans="1:11" x14ac:dyDescent="0.35">
      <c r="A606" s="73">
        <v>46057</v>
      </c>
      <c r="B606" t="s">
        <v>255</v>
      </c>
      <c r="C606" s="3">
        <v>1175</v>
      </c>
      <c r="E606" s="3">
        <v>1233528.75</v>
      </c>
      <c r="F606" t="str">
        <f>TEXT(Account_Data[[#This Row],[Date]],"mmm-yyyy")</f>
        <v>Feb-2026</v>
      </c>
      <c r="G606" t="str">
        <f>IF(Account_Data[[#This Row],[Credit]]&gt;0,"Income","Expense")</f>
        <v>Expense</v>
      </c>
      <c r="H6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06" s="3">
        <f>Account_Data[[#This Row],[Credit]]-Account_Data[[#This Row],[Debit]]</f>
        <v>-1175</v>
      </c>
      <c r="J606" s="7">
        <f>EOMONTH(Account_Data[[#This Row],[Date]],0)</f>
        <v>46081</v>
      </c>
      <c r="K606">
        <f>ABS(Account_Data[[#This Row],[Amount]])</f>
        <v>1175</v>
      </c>
    </row>
    <row r="607" spans="1:11" x14ac:dyDescent="0.35">
      <c r="A607" s="73">
        <v>46058</v>
      </c>
      <c r="B607" t="s">
        <v>146</v>
      </c>
      <c r="C607" s="3">
        <v>50</v>
      </c>
      <c r="E607" s="3">
        <v>1233478.75</v>
      </c>
      <c r="F607" t="str">
        <f>TEXT(Account_Data[[#This Row],[Date]],"mmm-yyyy")</f>
        <v>Feb-2026</v>
      </c>
      <c r="G607" t="str">
        <f>IF(Account_Data[[#This Row],[Credit]]&gt;0,"Income","Expense")</f>
        <v>Expense</v>
      </c>
      <c r="H6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07" s="3">
        <f>Account_Data[[#This Row],[Credit]]-Account_Data[[#This Row],[Debit]]</f>
        <v>-50</v>
      </c>
      <c r="J607" s="7">
        <f>EOMONTH(Account_Data[[#This Row],[Date]],0)</f>
        <v>46081</v>
      </c>
      <c r="K607">
        <f>ABS(Account_Data[[#This Row],[Amount]])</f>
        <v>50</v>
      </c>
    </row>
    <row r="608" spans="1:11" x14ac:dyDescent="0.35">
      <c r="A608" s="73">
        <v>46058</v>
      </c>
      <c r="B608" t="s">
        <v>346</v>
      </c>
      <c r="C608" s="3">
        <v>1760</v>
      </c>
      <c r="E608" s="3">
        <v>1231718.75</v>
      </c>
      <c r="F608" t="str">
        <f>TEXT(Account_Data[[#This Row],[Date]],"mmm-yyyy")</f>
        <v>Feb-2026</v>
      </c>
      <c r="G608" t="str">
        <f>IF(Account_Data[[#This Row],[Credit]]&gt;0,"Income","Expense")</f>
        <v>Expense</v>
      </c>
      <c r="H6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08" s="3">
        <f>Account_Data[[#This Row],[Credit]]-Account_Data[[#This Row],[Debit]]</f>
        <v>-1760</v>
      </c>
      <c r="J608" s="7">
        <f>EOMONTH(Account_Data[[#This Row],[Date]],0)</f>
        <v>46081</v>
      </c>
      <c r="K608">
        <f>ABS(Account_Data[[#This Row],[Amount]])</f>
        <v>1760</v>
      </c>
    </row>
    <row r="609" spans="1:11" x14ac:dyDescent="0.35">
      <c r="A609" s="73">
        <v>46058</v>
      </c>
      <c r="B609" t="s">
        <v>293</v>
      </c>
      <c r="C609" s="3">
        <v>3203</v>
      </c>
      <c r="E609" s="3">
        <v>1228515.75</v>
      </c>
      <c r="F609" t="str">
        <f>TEXT(Account_Data[[#This Row],[Date]],"mmm-yyyy")</f>
        <v>Feb-2026</v>
      </c>
      <c r="G609" t="str">
        <f>IF(Account_Data[[#This Row],[Credit]]&gt;0,"Income","Expense")</f>
        <v>Expense</v>
      </c>
      <c r="H6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09" s="3">
        <f>Account_Data[[#This Row],[Credit]]-Account_Data[[#This Row],[Debit]]</f>
        <v>-3203</v>
      </c>
      <c r="J609" s="7">
        <f>EOMONTH(Account_Data[[#This Row],[Date]],0)</f>
        <v>46081</v>
      </c>
      <c r="K609">
        <f>ABS(Account_Data[[#This Row],[Amount]])</f>
        <v>3203</v>
      </c>
    </row>
    <row r="610" spans="1:11" x14ac:dyDescent="0.35">
      <c r="A610" s="73">
        <v>46058</v>
      </c>
      <c r="B610" t="s">
        <v>293</v>
      </c>
      <c r="C610" s="3">
        <v>3203</v>
      </c>
      <c r="E610" s="3">
        <v>1225312.75</v>
      </c>
      <c r="F610" t="str">
        <f>TEXT(Account_Data[[#This Row],[Date]],"mmm-yyyy")</f>
        <v>Feb-2026</v>
      </c>
      <c r="G610" t="str">
        <f>IF(Account_Data[[#This Row],[Credit]]&gt;0,"Income","Expense")</f>
        <v>Expense</v>
      </c>
      <c r="H6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0" s="3">
        <f>Account_Data[[#This Row],[Credit]]-Account_Data[[#This Row],[Debit]]</f>
        <v>-3203</v>
      </c>
      <c r="J610" s="7">
        <f>EOMONTH(Account_Data[[#This Row],[Date]],0)</f>
        <v>46081</v>
      </c>
      <c r="K610">
        <f>ABS(Account_Data[[#This Row],[Amount]])</f>
        <v>3203</v>
      </c>
    </row>
    <row r="611" spans="1:11" x14ac:dyDescent="0.35">
      <c r="A611" s="73">
        <v>46058</v>
      </c>
      <c r="B611" t="s">
        <v>131</v>
      </c>
      <c r="D611" s="3">
        <v>3203</v>
      </c>
      <c r="E611" s="3">
        <v>1228515.75</v>
      </c>
      <c r="F611" t="str">
        <f>TEXT(Account_Data[[#This Row],[Date]],"mmm-yyyy")</f>
        <v>Feb-2026</v>
      </c>
      <c r="G611" t="str">
        <f>IF(Account_Data[[#This Row],[Credit]]&gt;0,"Income","Expense")</f>
        <v>Income</v>
      </c>
      <c r="H6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1" s="3">
        <f>Account_Data[[#This Row],[Credit]]-Account_Data[[#This Row],[Debit]]</f>
        <v>3203</v>
      </c>
      <c r="J611" s="7">
        <f>EOMONTH(Account_Data[[#This Row],[Date]],0)</f>
        <v>46081</v>
      </c>
      <c r="K611">
        <f>ABS(Account_Data[[#This Row],[Amount]])</f>
        <v>3203</v>
      </c>
    </row>
    <row r="612" spans="1:11" x14ac:dyDescent="0.35">
      <c r="A612" s="73">
        <v>46058</v>
      </c>
      <c r="B612" t="s">
        <v>132</v>
      </c>
      <c r="C612" s="3">
        <v>28294.7</v>
      </c>
      <c r="E612" s="3">
        <v>1200221.05</v>
      </c>
      <c r="F612" t="str">
        <f>TEXT(Account_Data[[#This Row],[Date]],"mmm-yyyy")</f>
        <v>Feb-2026</v>
      </c>
      <c r="G612" t="str">
        <f>IF(Account_Data[[#This Row],[Credit]]&gt;0,"Income","Expense")</f>
        <v>Expense</v>
      </c>
      <c r="H6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12" s="3">
        <f>Account_Data[[#This Row],[Credit]]-Account_Data[[#This Row],[Debit]]</f>
        <v>-28294.7</v>
      </c>
      <c r="J612" s="7">
        <f>EOMONTH(Account_Data[[#This Row],[Date]],0)</f>
        <v>46081</v>
      </c>
      <c r="K612">
        <f>ABS(Account_Data[[#This Row],[Amount]])</f>
        <v>28294.7</v>
      </c>
    </row>
    <row r="613" spans="1:11" x14ac:dyDescent="0.35">
      <c r="A613" s="73">
        <v>46060</v>
      </c>
      <c r="B613" t="s">
        <v>338</v>
      </c>
      <c r="C613" s="3">
        <v>3</v>
      </c>
      <c r="E613" s="3">
        <v>1200218.05</v>
      </c>
      <c r="F613" t="str">
        <f>TEXT(Account_Data[[#This Row],[Date]],"mmm-yyyy")</f>
        <v>Feb-2026</v>
      </c>
      <c r="G613" t="str">
        <f>IF(Account_Data[[#This Row],[Credit]]&gt;0,"Income","Expense")</f>
        <v>Expense</v>
      </c>
      <c r="H6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3" s="3">
        <f>Account_Data[[#This Row],[Credit]]-Account_Data[[#This Row],[Debit]]</f>
        <v>-3</v>
      </c>
      <c r="J613" s="7">
        <f>EOMONTH(Account_Data[[#This Row],[Date]],0)</f>
        <v>46081</v>
      </c>
      <c r="K613">
        <f>ABS(Account_Data[[#This Row],[Amount]])</f>
        <v>3</v>
      </c>
    </row>
    <row r="614" spans="1:11" x14ac:dyDescent="0.35">
      <c r="A614" s="73">
        <v>46061</v>
      </c>
      <c r="B614" t="s">
        <v>198</v>
      </c>
      <c r="C614" s="3">
        <v>424</v>
      </c>
      <c r="E614" s="3">
        <v>1199794.05</v>
      </c>
      <c r="F614" t="str">
        <f>TEXT(Account_Data[[#This Row],[Date]],"mmm-yyyy")</f>
        <v>Feb-2026</v>
      </c>
      <c r="G614" t="str">
        <f>IF(Account_Data[[#This Row],[Credit]]&gt;0,"Income","Expense")</f>
        <v>Expense</v>
      </c>
      <c r="H6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4" s="3">
        <f>Account_Data[[#This Row],[Credit]]-Account_Data[[#This Row],[Debit]]</f>
        <v>-424</v>
      </c>
      <c r="J614" s="7">
        <f>EOMONTH(Account_Data[[#This Row],[Date]],0)</f>
        <v>46081</v>
      </c>
      <c r="K614">
        <f>ABS(Account_Data[[#This Row],[Amount]])</f>
        <v>424</v>
      </c>
    </row>
    <row r="615" spans="1:11" x14ac:dyDescent="0.35">
      <c r="A615" s="73">
        <v>46061</v>
      </c>
      <c r="B615" t="s">
        <v>133</v>
      </c>
      <c r="D615" s="3">
        <v>167</v>
      </c>
      <c r="E615" s="3">
        <v>1199961.05</v>
      </c>
      <c r="F615" t="str">
        <f>TEXT(Account_Data[[#This Row],[Date]],"mmm-yyyy")</f>
        <v>Feb-2026</v>
      </c>
      <c r="G615" t="str">
        <f>IF(Account_Data[[#This Row],[Credit]]&gt;0,"Income","Expense")</f>
        <v>Income</v>
      </c>
      <c r="H6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5" s="3">
        <f>Account_Data[[#This Row],[Credit]]-Account_Data[[#This Row],[Debit]]</f>
        <v>167</v>
      </c>
      <c r="J615" s="7">
        <f>EOMONTH(Account_Data[[#This Row],[Date]],0)</f>
        <v>46081</v>
      </c>
      <c r="K615">
        <f>ABS(Account_Data[[#This Row],[Amount]])</f>
        <v>167</v>
      </c>
    </row>
    <row r="616" spans="1:11" x14ac:dyDescent="0.35">
      <c r="A616" s="73">
        <v>46062</v>
      </c>
      <c r="B616" t="s">
        <v>234</v>
      </c>
      <c r="C616" s="3">
        <v>199</v>
      </c>
      <c r="E616" s="3">
        <v>1199762.05</v>
      </c>
      <c r="F616" t="str">
        <f>TEXT(Account_Data[[#This Row],[Date]],"mmm-yyyy")</f>
        <v>Feb-2026</v>
      </c>
      <c r="G616" t="str">
        <f>IF(Account_Data[[#This Row],[Credit]]&gt;0,"Income","Expense")</f>
        <v>Expense</v>
      </c>
      <c r="H6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6" s="3">
        <f>Account_Data[[#This Row],[Credit]]-Account_Data[[#This Row],[Debit]]</f>
        <v>-199</v>
      </c>
      <c r="J616" s="7">
        <f>EOMONTH(Account_Data[[#This Row],[Date]],0)</f>
        <v>46081</v>
      </c>
      <c r="K616">
        <f>ABS(Account_Data[[#This Row],[Amount]])</f>
        <v>199</v>
      </c>
    </row>
    <row r="617" spans="1:11" x14ac:dyDescent="0.35">
      <c r="A617" s="73">
        <v>46062</v>
      </c>
      <c r="B617" t="s">
        <v>257</v>
      </c>
      <c r="C617" s="3">
        <v>10000</v>
      </c>
      <c r="E617" s="3">
        <v>1189762.05</v>
      </c>
      <c r="F617" t="str">
        <f>TEXT(Account_Data[[#This Row],[Date]],"mmm-yyyy")</f>
        <v>Feb-2026</v>
      </c>
      <c r="G617" t="str">
        <f>IF(Account_Data[[#This Row],[Credit]]&gt;0,"Income","Expense")</f>
        <v>Expense</v>
      </c>
      <c r="H6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17" s="3">
        <f>Account_Data[[#This Row],[Credit]]-Account_Data[[#This Row],[Debit]]</f>
        <v>-10000</v>
      </c>
      <c r="J617" s="7">
        <f>EOMONTH(Account_Data[[#This Row],[Date]],0)</f>
        <v>46081</v>
      </c>
      <c r="K617">
        <f>ABS(Account_Data[[#This Row],[Amount]])</f>
        <v>10000</v>
      </c>
    </row>
    <row r="618" spans="1:11" x14ac:dyDescent="0.35">
      <c r="A618" s="73">
        <v>46062</v>
      </c>
      <c r="B618" t="s">
        <v>342</v>
      </c>
      <c r="C618" s="3">
        <v>1800</v>
      </c>
      <c r="E618" s="3">
        <v>1187962.05</v>
      </c>
      <c r="F618" t="str">
        <f>TEXT(Account_Data[[#This Row],[Date]],"mmm-yyyy")</f>
        <v>Feb-2026</v>
      </c>
      <c r="G618" t="str">
        <f>IF(Account_Data[[#This Row],[Credit]]&gt;0,"Income","Expense")</f>
        <v>Expense</v>
      </c>
      <c r="H6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8" s="3">
        <f>Account_Data[[#This Row],[Credit]]-Account_Data[[#This Row],[Debit]]</f>
        <v>-1800</v>
      </c>
      <c r="J618" s="7">
        <f>EOMONTH(Account_Data[[#This Row],[Date]],0)</f>
        <v>46081</v>
      </c>
      <c r="K618">
        <f>ABS(Account_Data[[#This Row],[Amount]])</f>
        <v>1800</v>
      </c>
    </row>
    <row r="619" spans="1:11" x14ac:dyDescent="0.35">
      <c r="A619" s="73">
        <v>46063</v>
      </c>
      <c r="B619" t="s">
        <v>346</v>
      </c>
      <c r="C619" s="3">
        <v>3275</v>
      </c>
      <c r="E619" s="3">
        <v>1184687.05</v>
      </c>
      <c r="F619" t="str">
        <f>TEXT(Account_Data[[#This Row],[Date]],"mmm-yyyy")</f>
        <v>Feb-2026</v>
      </c>
      <c r="G619" t="str">
        <f>IF(Account_Data[[#This Row],[Credit]]&gt;0,"Income","Expense")</f>
        <v>Expense</v>
      </c>
      <c r="H6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19" s="3">
        <f>Account_Data[[#This Row],[Credit]]-Account_Data[[#This Row],[Debit]]</f>
        <v>-3275</v>
      </c>
      <c r="J619" s="7">
        <f>EOMONTH(Account_Data[[#This Row],[Date]],0)</f>
        <v>46081</v>
      </c>
      <c r="K619">
        <f>ABS(Account_Data[[#This Row],[Amount]])</f>
        <v>3275</v>
      </c>
    </row>
    <row r="620" spans="1:11" x14ac:dyDescent="0.35">
      <c r="A620" s="73">
        <v>46063</v>
      </c>
      <c r="B620" t="s">
        <v>346</v>
      </c>
      <c r="C620" s="3">
        <v>500</v>
      </c>
      <c r="E620" s="3">
        <v>1184187.05</v>
      </c>
      <c r="F620" t="str">
        <f>TEXT(Account_Data[[#This Row],[Date]],"mmm-yyyy")</f>
        <v>Feb-2026</v>
      </c>
      <c r="G620" t="str">
        <f>IF(Account_Data[[#This Row],[Credit]]&gt;0,"Income","Expense")</f>
        <v>Expense</v>
      </c>
      <c r="H6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0" s="3">
        <f>Account_Data[[#This Row],[Credit]]-Account_Data[[#This Row],[Debit]]</f>
        <v>-500</v>
      </c>
      <c r="J620" s="7">
        <f>EOMONTH(Account_Data[[#This Row],[Date]],0)</f>
        <v>46081</v>
      </c>
      <c r="K620">
        <f>ABS(Account_Data[[#This Row],[Amount]])</f>
        <v>500</v>
      </c>
    </row>
    <row r="621" spans="1:11" x14ac:dyDescent="0.35">
      <c r="A621" s="73">
        <v>46063</v>
      </c>
      <c r="B621" t="s">
        <v>347</v>
      </c>
      <c r="C621" s="3">
        <v>18</v>
      </c>
      <c r="E621" s="3">
        <v>1184169.05</v>
      </c>
      <c r="F621" t="str">
        <f>TEXT(Account_Data[[#This Row],[Date]],"mmm-yyyy")</f>
        <v>Feb-2026</v>
      </c>
      <c r="G621" t="str">
        <f>IF(Account_Data[[#This Row],[Credit]]&gt;0,"Income","Expense")</f>
        <v>Expense</v>
      </c>
      <c r="H6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1" s="3">
        <f>Account_Data[[#This Row],[Credit]]-Account_Data[[#This Row],[Debit]]</f>
        <v>-18</v>
      </c>
      <c r="J621" s="7">
        <f>EOMONTH(Account_Data[[#This Row],[Date]],0)</f>
        <v>46081</v>
      </c>
      <c r="K621">
        <f>ABS(Account_Data[[#This Row],[Amount]])</f>
        <v>18</v>
      </c>
    </row>
    <row r="622" spans="1:11" x14ac:dyDescent="0.35">
      <c r="A622" s="73">
        <v>46065</v>
      </c>
      <c r="B622" t="s">
        <v>338</v>
      </c>
      <c r="C622" s="3">
        <v>14</v>
      </c>
      <c r="E622" s="3">
        <v>1184155.05</v>
      </c>
      <c r="F622" t="str">
        <f>TEXT(Account_Data[[#This Row],[Date]],"mmm-yyyy")</f>
        <v>Feb-2026</v>
      </c>
      <c r="G622" t="str">
        <f>IF(Account_Data[[#This Row],[Credit]]&gt;0,"Income","Expense")</f>
        <v>Expense</v>
      </c>
      <c r="H6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2" s="3">
        <f>Account_Data[[#This Row],[Credit]]-Account_Data[[#This Row],[Debit]]</f>
        <v>-14</v>
      </c>
      <c r="J622" s="7">
        <f>EOMONTH(Account_Data[[#This Row],[Date]],0)</f>
        <v>46081</v>
      </c>
      <c r="K622">
        <f>ABS(Account_Data[[#This Row],[Amount]])</f>
        <v>14</v>
      </c>
    </row>
    <row r="623" spans="1:11" x14ac:dyDescent="0.35">
      <c r="A623" s="73">
        <v>46066</v>
      </c>
      <c r="B623" t="s">
        <v>326</v>
      </c>
      <c r="C623" s="3">
        <v>3000</v>
      </c>
      <c r="E623" s="3">
        <v>1181155.05</v>
      </c>
      <c r="F623" t="str">
        <f>TEXT(Account_Data[[#This Row],[Date]],"mmm-yyyy")</f>
        <v>Feb-2026</v>
      </c>
      <c r="G623" t="str">
        <f>IF(Account_Data[[#This Row],[Credit]]&gt;0,"Income","Expense")</f>
        <v>Expense</v>
      </c>
      <c r="H6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3" s="3">
        <f>Account_Data[[#This Row],[Credit]]-Account_Data[[#This Row],[Debit]]</f>
        <v>-3000</v>
      </c>
      <c r="J623" s="7">
        <f>EOMONTH(Account_Data[[#This Row],[Date]],0)</f>
        <v>46081</v>
      </c>
      <c r="K623">
        <f>ABS(Account_Data[[#This Row],[Amount]])</f>
        <v>3000</v>
      </c>
    </row>
    <row r="624" spans="1:11" x14ac:dyDescent="0.35">
      <c r="A624" s="73">
        <v>46066</v>
      </c>
      <c r="B624" t="s">
        <v>201</v>
      </c>
      <c r="C624" s="3">
        <v>1000</v>
      </c>
      <c r="E624" s="3">
        <v>1180155.05</v>
      </c>
      <c r="F624" t="str">
        <f>TEXT(Account_Data[[#This Row],[Date]],"mmm-yyyy")</f>
        <v>Feb-2026</v>
      </c>
      <c r="G624" t="str">
        <f>IF(Account_Data[[#This Row],[Credit]]&gt;0,"Income","Expense")</f>
        <v>Expense</v>
      </c>
      <c r="H6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4" s="3">
        <f>Account_Data[[#This Row],[Credit]]-Account_Data[[#This Row],[Debit]]</f>
        <v>-1000</v>
      </c>
      <c r="J624" s="7">
        <f>EOMONTH(Account_Data[[#This Row],[Date]],0)</f>
        <v>46081</v>
      </c>
      <c r="K624">
        <f>ABS(Account_Data[[#This Row],[Amount]])</f>
        <v>1000</v>
      </c>
    </row>
    <row r="625" spans="1:11" x14ac:dyDescent="0.35">
      <c r="A625" s="73">
        <v>46066</v>
      </c>
      <c r="B625" t="s">
        <v>201</v>
      </c>
      <c r="C625" s="3">
        <v>24000</v>
      </c>
      <c r="E625" s="3">
        <v>1156155.05</v>
      </c>
      <c r="F625" t="str">
        <f>TEXT(Account_Data[[#This Row],[Date]],"mmm-yyyy")</f>
        <v>Feb-2026</v>
      </c>
      <c r="G625" t="str">
        <f>IF(Account_Data[[#This Row],[Credit]]&gt;0,"Income","Expense")</f>
        <v>Expense</v>
      </c>
      <c r="H6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5" s="3">
        <f>Account_Data[[#This Row],[Credit]]-Account_Data[[#This Row],[Debit]]</f>
        <v>-24000</v>
      </c>
      <c r="J625" s="7">
        <f>EOMONTH(Account_Data[[#This Row],[Date]],0)</f>
        <v>46081</v>
      </c>
      <c r="K625">
        <f>ABS(Account_Data[[#This Row],[Amount]])</f>
        <v>24000</v>
      </c>
    </row>
    <row r="626" spans="1:11" x14ac:dyDescent="0.35">
      <c r="A626" s="73">
        <v>46067</v>
      </c>
      <c r="B626" t="s">
        <v>145</v>
      </c>
      <c r="C626" s="3">
        <v>5000</v>
      </c>
      <c r="E626" s="3">
        <v>1151155.05</v>
      </c>
      <c r="F626" t="str">
        <f>TEXT(Account_Data[[#This Row],[Date]],"mmm-yyyy")</f>
        <v>Feb-2026</v>
      </c>
      <c r="G626" t="str">
        <f>IF(Account_Data[[#This Row],[Credit]]&gt;0,"Income","Expense")</f>
        <v>Expense</v>
      </c>
      <c r="H6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6" s="3">
        <f>Account_Data[[#This Row],[Credit]]-Account_Data[[#This Row],[Debit]]</f>
        <v>-5000</v>
      </c>
      <c r="J626" s="7">
        <f>EOMONTH(Account_Data[[#This Row],[Date]],0)</f>
        <v>46081</v>
      </c>
      <c r="K626">
        <f>ABS(Account_Data[[#This Row],[Amount]])</f>
        <v>5000</v>
      </c>
    </row>
    <row r="627" spans="1:11" x14ac:dyDescent="0.35">
      <c r="A627" s="73">
        <v>46067</v>
      </c>
      <c r="B627" t="s">
        <v>177</v>
      </c>
      <c r="C627" s="3">
        <v>4000</v>
      </c>
      <c r="E627" s="3">
        <v>1147155.05</v>
      </c>
      <c r="F627" t="str">
        <f>TEXT(Account_Data[[#This Row],[Date]],"mmm-yyyy")</f>
        <v>Feb-2026</v>
      </c>
      <c r="G627" t="str">
        <f>IF(Account_Data[[#This Row],[Credit]]&gt;0,"Income","Expense")</f>
        <v>Expense</v>
      </c>
      <c r="H6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7" s="3">
        <f>Account_Data[[#This Row],[Credit]]-Account_Data[[#This Row],[Debit]]</f>
        <v>-4000</v>
      </c>
      <c r="J627" s="7">
        <f>EOMONTH(Account_Data[[#This Row],[Date]],0)</f>
        <v>46081</v>
      </c>
      <c r="K627">
        <f>ABS(Account_Data[[#This Row],[Amount]])</f>
        <v>4000</v>
      </c>
    </row>
    <row r="628" spans="1:11" x14ac:dyDescent="0.35">
      <c r="A628" s="73">
        <v>46068</v>
      </c>
      <c r="B628" t="s">
        <v>348</v>
      </c>
      <c r="C628" s="3">
        <v>950</v>
      </c>
      <c r="E628" s="3">
        <v>1146205.05</v>
      </c>
      <c r="F628" t="str">
        <f>TEXT(Account_Data[[#This Row],[Date]],"mmm-yyyy")</f>
        <v>Feb-2026</v>
      </c>
      <c r="G628" t="str">
        <f>IF(Account_Data[[#This Row],[Credit]]&gt;0,"Income","Expense")</f>
        <v>Expense</v>
      </c>
      <c r="H6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8" s="3">
        <f>Account_Data[[#This Row],[Credit]]-Account_Data[[#This Row],[Debit]]</f>
        <v>-950</v>
      </c>
      <c r="J628" s="7">
        <f>EOMONTH(Account_Data[[#This Row],[Date]],0)</f>
        <v>46081</v>
      </c>
      <c r="K628">
        <f>ABS(Account_Data[[#This Row],[Amount]])</f>
        <v>950</v>
      </c>
    </row>
    <row r="629" spans="1:11" x14ac:dyDescent="0.35">
      <c r="A629" s="73">
        <v>46069</v>
      </c>
      <c r="B629" t="s">
        <v>338</v>
      </c>
      <c r="C629" s="3">
        <v>14</v>
      </c>
      <c r="E629" s="3">
        <v>1146191.05</v>
      </c>
      <c r="F629" t="str">
        <f>TEXT(Account_Data[[#This Row],[Date]],"mmm-yyyy")</f>
        <v>Feb-2026</v>
      </c>
      <c r="G629" t="str">
        <f>IF(Account_Data[[#This Row],[Credit]]&gt;0,"Income","Expense")</f>
        <v>Expense</v>
      </c>
      <c r="H6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29" s="3">
        <f>Account_Data[[#This Row],[Credit]]-Account_Data[[#This Row],[Debit]]</f>
        <v>-14</v>
      </c>
      <c r="J629" s="7">
        <f>EOMONTH(Account_Data[[#This Row],[Date]],0)</f>
        <v>46081</v>
      </c>
      <c r="K629">
        <f>ABS(Account_Data[[#This Row],[Amount]])</f>
        <v>14</v>
      </c>
    </row>
    <row r="630" spans="1:11" x14ac:dyDescent="0.35">
      <c r="A630" s="73">
        <v>46069</v>
      </c>
      <c r="B630" t="s">
        <v>349</v>
      </c>
      <c r="C630" s="3">
        <v>14</v>
      </c>
      <c r="E630" s="3">
        <v>1146177.05</v>
      </c>
      <c r="F630" t="str">
        <f>TEXT(Account_Data[[#This Row],[Date]],"mmm-yyyy")</f>
        <v>Feb-2026</v>
      </c>
      <c r="G630" t="str">
        <f>IF(Account_Data[[#This Row],[Credit]]&gt;0,"Income","Expense")</f>
        <v>Expense</v>
      </c>
      <c r="H6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0" s="3">
        <f>Account_Data[[#This Row],[Credit]]-Account_Data[[#This Row],[Debit]]</f>
        <v>-14</v>
      </c>
      <c r="J630" s="7">
        <f>EOMONTH(Account_Data[[#This Row],[Date]],0)</f>
        <v>46081</v>
      </c>
      <c r="K630">
        <f>ABS(Account_Data[[#This Row],[Amount]])</f>
        <v>14</v>
      </c>
    </row>
    <row r="631" spans="1:11" x14ac:dyDescent="0.35">
      <c r="A631" s="73">
        <v>46070</v>
      </c>
      <c r="B631" t="s">
        <v>350</v>
      </c>
      <c r="C631" s="3">
        <v>1400</v>
      </c>
      <c r="E631" s="3">
        <v>1144777.05</v>
      </c>
      <c r="F631" t="str">
        <f>TEXT(Account_Data[[#This Row],[Date]],"mmm-yyyy")</f>
        <v>Feb-2026</v>
      </c>
      <c r="G631" t="str">
        <f>IF(Account_Data[[#This Row],[Credit]]&gt;0,"Income","Expense")</f>
        <v>Expense</v>
      </c>
      <c r="H6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1" s="3">
        <f>Account_Data[[#This Row],[Credit]]-Account_Data[[#This Row],[Debit]]</f>
        <v>-1400</v>
      </c>
      <c r="J631" s="7">
        <f>EOMONTH(Account_Data[[#This Row],[Date]],0)</f>
        <v>46081</v>
      </c>
      <c r="K631">
        <f>ABS(Account_Data[[#This Row],[Amount]])</f>
        <v>1400</v>
      </c>
    </row>
    <row r="632" spans="1:11" x14ac:dyDescent="0.35">
      <c r="A632" s="73">
        <v>46070</v>
      </c>
      <c r="B632" t="s">
        <v>351</v>
      </c>
      <c r="C632" s="3">
        <v>3000</v>
      </c>
      <c r="E632" s="3">
        <v>1141777.05</v>
      </c>
      <c r="F632" t="str">
        <f>TEXT(Account_Data[[#This Row],[Date]],"mmm-yyyy")</f>
        <v>Feb-2026</v>
      </c>
      <c r="G632" t="str">
        <f>IF(Account_Data[[#This Row],[Credit]]&gt;0,"Income","Expense")</f>
        <v>Expense</v>
      </c>
      <c r="H6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2" s="3">
        <f>Account_Data[[#This Row],[Credit]]-Account_Data[[#This Row],[Debit]]</f>
        <v>-3000</v>
      </c>
      <c r="J632" s="7">
        <f>EOMONTH(Account_Data[[#This Row],[Date]],0)</f>
        <v>46081</v>
      </c>
      <c r="K632">
        <f>ABS(Account_Data[[#This Row],[Amount]])</f>
        <v>3000</v>
      </c>
    </row>
    <row r="633" spans="1:11" x14ac:dyDescent="0.35">
      <c r="A633" s="73">
        <v>46071</v>
      </c>
      <c r="B633" t="s">
        <v>168</v>
      </c>
      <c r="C633" s="3">
        <v>878.6</v>
      </c>
      <c r="E633" s="3">
        <v>1140898.45</v>
      </c>
      <c r="F633" t="str">
        <f>TEXT(Account_Data[[#This Row],[Date]],"mmm-yyyy")</f>
        <v>Feb-2026</v>
      </c>
      <c r="G633" t="str">
        <f>IF(Account_Data[[#This Row],[Credit]]&gt;0,"Income","Expense")</f>
        <v>Expense</v>
      </c>
      <c r="H6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3" s="3">
        <f>Account_Data[[#This Row],[Credit]]-Account_Data[[#This Row],[Debit]]</f>
        <v>-878.6</v>
      </c>
      <c r="J633" s="7">
        <f>EOMONTH(Account_Data[[#This Row],[Date]],0)</f>
        <v>46081</v>
      </c>
      <c r="K633">
        <f>ABS(Account_Data[[#This Row],[Amount]])</f>
        <v>878.6</v>
      </c>
    </row>
    <row r="634" spans="1:11" x14ac:dyDescent="0.35">
      <c r="A634" s="73">
        <v>46071</v>
      </c>
      <c r="B634" t="s">
        <v>352</v>
      </c>
      <c r="C634" s="3">
        <v>15</v>
      </c>
      <c r="E634" s="3">
        <v>1140883.45</v>
      </c>
      <c r="F634" t="str">
        <f>TEXT(Account_Data[[#This Row],[Date]],"mmm-yyyy")</f>
        <v>Feb-2026</v>
      </c>
      <c r="G634" t="str">
        <f>IF(Account_Data[[#This Row],[Credit]]&gt;0,"Income","Expense")</f>
        <v>Expense</v>
      </c>
      <c r="H6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4" s="3">
        <f>Account_Data[[#This Row],[Credit]]-Account_Data[[#This Row],[Debit]]</f>
        <v>-15</v>
      </c>
      <c r="J634" s="7">
        <f>EOMONTH(Account_Data[[#This Row],[Date]],0)</f>
        <v>46081</v>
      </c>
      <c r="K634">
        <f>ABS(Account_Data[[#This Row],[Amount]])</f>
        <v>15</v>
      </c>
    </row>
    <row r="635" spans="1:11" x14ac:dyDescent="0.35">
      <c r="A635" s="73">
        <v>46071</v>
      </c>
      <c r="B635" t="s">
        <v>352</v>
      </c>
      <c r="C635" s="3">
        <v>12</v>
      </c>
      <c r="E635" s="3">
        <v>1140871.45</v>
      </c>
      <c r="F635" t="str">
        <f>TEXT(Account_Data[[#This Row],[Date]],"mmm-yyyy")</f>
        <v>Feb-2026</v>
      </c>
      <c r="G635" t="str">
        <f>IF(Account_Data[[#This Row],[Credit]]&gt;0,"Income","Expense")</f>
        <v>Expense</v>
      </c>
      <c r="H6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5" s="3">
        <f>Account_Data[[#This Row],[Credit]]-Account_Data[[#This Row],[Debit]]</f>
        <v>-12</v>
      </c>
      <c r="J635" s="7">
        <f>EOMONTH(Account_Data[[#This Row],[Date]],0)</f>
        <v>46081</v>
      </c>
      <c r="K635">
        <f>ABS(Account_Data[[#This Row],[Amount]])</f>
        <v>12</v>
      </c>
    </row>
    <row r="636" spans="1:11" x14ac:dyDescent="0.35">
      <c r="A636" s="73">
        <v>46072</v>
      </c>
      <c r="B636" t="s">
        <v>134</v>
      </c>
      <c r="D636" s="3">
        <v>790</v>
      </c>
      <c r="E636" s="3">
        <v>1141661.45</v>
      </c>
      <c r="F636" t="str">
        <f>TEXT(Account_Data[[#This Row],[Date]],"mmm-yyyy")</f>
        <v>Feb-2026</v>
      </c>
      <c r="G636" t="str">
        <f>IF(Account_Data[[#This Row],[Credit]]&gt;0,"Income","Expense")</f>
        <v>Income</v>
      </c>
      <c r="H6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6" s="3">
        <f>Account_Data[[#This Row],[Credit]]-Account_Data[[#This Row],[Debit]]</f>
        <v>790</v>
      </c>
      <c r="J636" s="7">
        <f>EOMONTH(Account_Data[[#This Row],[Date]],0)</f>
        <v>46081</v>
      </c>
      <c r="K636">
        <f>ABS(Account_Data[[#This Row],[Amount]])</f>
        <v>790</v>
      </c>
    </row>
    <row r="637" spans="1:11" x14ac:dyDescent="0.35">
      <c r="A637" s="73">
        <v>46073</v>
      </c>
      <c r="B637" t="s">
        <v>353</v>
      </c>
      <c r="C637" s="3">
        <v>70000</v>
      </c>
      <c r="E637" s="3">
        <v>1071661.45</v>
      </c>
      <c r="F637" t="str">
        <f>TEXT(Account_Data[[#This Row],[Date]],"mmm-yyyy")</f>
        <v>Feb-2026</v>
      </c>
      <c r="G637" t="str">
        <f>IF(Account_Data[[#This Row],[Credit]]&gt;0,"Income","Expense")</f>
        <v>Expense</v>
      </c>
      <c r="H6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7" s="3">
        <f>Account_Data[[#This Row],[Credit]]-Account_Data[[#This Row],[Debit]]</f>
        <v>-70000</v>
      </c>
      <c r="J637" s="7">
        <f>EOMONTH(Account_Data[[#This Row],[Date]],0)</f>
        <v>46081</v>
      </c>
      <c r="K637">
        <f>ABS(Account_Data[[#This Row],[Amount]])</f>
        <v>70000</v>
      </c>
    </row>
    <row r="638" spans="1:11" x14ac:dyDescent="0.35">
      <c r="A638" s="73">
        <v>46074</v>
      </c>
      <c r="B638" t="s">
        <v>354</v>
      </c>
      <c r="C638" s="3">
        <v>1100</v>
      </c>
      <c r="E638" s="3">
        <v>1070561.45</v>
      </c>
      <c r="F638" t="str">
        <f>TEXT(Account_Data[[#This Row],[Date]],"mmm-yyyy")</f>
        <v>Feb-2026</v>
      </c>
      <c r="G638" t="str">
        <f>IF(Account_Data[[#This Row],[Credit]]&gt;0,"Income","Expense")</f>
        <v>Expense</v>
      </c>
      <c r="H6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8" s="3">
        <f>Account_Data[[#This Row],[Credit]]-Account_Data[[#This Row],[Debit]]</f>
        <v>-1100</v>
      </c>
      <c r="J638" s="7">
        <f>EOMONTH(Account_Data[[#This Row],[Date]],0)</f>
        <v>46081</v>
      </c>
      <c r="K638">
        <f>ABS(Account_Data[[#This Row],[Amount]])</f>
        <v>1100</v>
      </c>
    </row>
    <row r="639" spans="1:11" x14ac:dyDescent="0.35">
      <c r="A639" s="73">
        <v>46075</v>
      </c>
      <c r="B639" t="s">
        <v>177</v>
      </c>
      <c r="C639" s="3">
        <v>14825</v>
      </c>
      <c r="E639" s="3">
        <v>1055736.45</v>
      </c>
      <c r="F639" t="str">
        <f>TEXT(Account_Data[[#This Row],[Date]],"mmm-yyyy")</f>
        <v>Feb-2026</v>
      </c>
      <c r="G639" t="str">
        <f>IF(Account_Data[[#This Row],[Credit]]&gt;0,"Income","Expense")</f>
        <v>Expense</v>
      </c>
      <c r="H6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39" s="3">
        <f>Account_Data[[#This Row],[Credit]]-Account_Data[[#This Row],[Debit]]</f>
        <v>-14825</v>
      </c>
      <c r="J639" s="7">
        <f>EOMONTH(Account_Data[[#This Row],[Date]],0)</f>
        <v>46081</v>
      </c>
      <c r="K639">
        <f>ABS(Account_Data[[#This Row],[Amount]])</f>
        <v>14825</v>
      </c>
    </row>
    <row r="640" spans="1:11" x14ac:dyDescent="0.35">
      <c r="A640" s="73">
        <v>46075</v>
      </c>
      <c r="B640" t="s">
        <v>135</v>
      </c>
      <c r="D640" s="3">
        <v>14825</v>
      </c>
      <c r="E640" s="3">
        <v>1070561.45</v>
      </c>
      <c r="F640" t="str">
        <f>TEXT(Account_Data[[#This Row],[Date]],"mmm-yyyy")</f>
        <v>Feb-2026</v>
      </c>
      <c r="G640" t="str">
        <f>IF(Account_Data[[#This Row],[Credit]]&gt;0,"Income","Expense")</f>
        <v>Income</v>
      </c>
      <c r="H6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0" s="3">
        <f>Account_Data[[#This Row],[Credit]]-Account_Data[[#This Row],[Debit]]</f>
        <v>14825</v>
      </c>
      <c r="J640" s="7">
        <f>EOMONTH(Account_Data[[#This Row],[Date]],0)</f>
        <v>46081</v>
      </c>
      <c r="K640">
        <f>ABS(Account_Data[[#This Row],[Amount]])</f>
        <v>14825</v>
      </c>
    </row>
    <row r="641" spans="1:11" x14ac:dyDescent="0.35">
      <c r="A641" s="73">
        <v>46075</v>
      </c>
      <c r="B641" t="s">
        <v>355</v>
      </c>
      <c r="C641" s="3">
        <v>214825</v>
      </c>
      <c r="E641" s="3">
        <v>855736.45</v>
      </c>
      <c r="F641" t="str">
        <f>TEXT(Account_Data[[#This Row],[Date]],"mmm-yyyy")</f>
        <v>Feb-2026</v>
      </c>
      <c r="G641" t="str">
        <f>IF(Account_Data[[#This Row],[Credit]]&gt;0,"Income","Expense")</f>
        <v>Expense</v>
      </c>
      <c r="H6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641" s="3">
        <f>Account_Data[[#This Row],[Credit]]-Account_Data[[#This Row],[Debit]]</f>
        <v>-214825</v>
      </c>
      <c r="J641" s="7">
        <f>EOMONTH(Account_Data[[#This Row],[Date]],0)</f>
        <v>46081</v>
      </c>
      <c r="K641">
        <f>ABS(Account_Data[[#This Row],[Amount]])</f>
        <v>214825</v>
      </c>
    </row>
    <row r="642" spans="1:11" x14ac:dyDescent="0.35">
      <c r="A642" s="73">
        <v>46075</v>
      </c>
      <c r="B642" t="s">
        <v>356</v>
      </c>
      <c r="C642" s="3">
        <v>25000</v>
      </c>
      <c r="E642" s="3">
        <v>830736.45</v>
      </c>
      <c r="F642" t="str">
        <f>TEXT(Account_Data[[#This Row],[Date]],"mmm-yyyy")</f>
        <v>Feb-2026</v>
      </c>
      <c r="G642" t="str">
        <f>IF(Account_Data[[#This Row],[Credit]]&gt;0,"Income","Expense")</f>
        <v>Expense</v>
      </c>
      <c r="H6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642" s="3">
        <f>Account_Data[[#This Row],[Credit]]-Account_Data[[#This Row],[Debit]]</f>
        <v>-25000</v>
      </c>
      <c r="J642" s="7">
        <f>EOMONTH(Account_Data[[#This Row],[Date]],0)</f>
        <v>46081</v>
      </c>
      <c r="K642">
        <f>ABS(Account_Data[[#This Row],[Amount]])</f>
        <v>25000</v>
      </c>
    </row>
    <row r="643" spans="1:11" x14ac:dyDescent="0.35">
      <c r="A643" s="73">
        <v>46076</v>
      </c>
      <c r="B643" t="s">
        <v>136</v>
      </c>
      <c r="D643" s="3">
        <v>59.52</v>
      </c>
      <c r="E643" s="3">
        <v>830795.97</v>
      </c>
      <c r="F643" t="str">
        <f>TEXT(Account_Data[[#This Row],[Date]],"mmm-yyyy")</f>
        <v>Feb-2026</v>
      </c>
      <c r="G643" t="str">
        <f>IF(Account_Data[[#This Row],[Credit]]&gt;0,"Income","Expense")</f>
        <v>Income</v>
      </c>
      <c r="H6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643" s="3">
        <f>Account_Data[[#This Row],[Credit]]-Account_Data[[#This Row],[Debit]]</f>
        <v>59.52</v>
      </c>
      <c r="J643" s="7">
        <f>EOMONTH(Account_Data[[#This Row],[Date]],0)</f>
        <v>46081</v>
      </c>
      <c r="K643">
        <f>ABS(Account_Data[[#This Row],[Amount]])</f>
        <v>59.52</v>
      </c>
    </row>
    <row r="644" spans="1:11" x14ac:dyDescent="0.35">
      <c r="A644" s="73">
        <v>46076</v>
      </c>
      <c r="B644" t="s">
        <v>357</v>
      </c>
      <c r="C644" s="3">
        <v>170</v>
      </c>
      <c r="E644" s="3">
        <v>830625.97</v>
      </c>
      <c r="F644" t="str">
        <f>TEXT(Account_Data[[#This Row],[Date]],"mmm-yyyy")</f>
        <v>Feb-2026</v>
      </c>
      <c r="G644" t="str">
        <f>IF(Account_Data[[#This Row],[Credit]]&gt;0,"Income","Expense")</f>
        <v>Expense</v>
      </c>
      <c r="H6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4" s="3">
        <f>Account_Data[[#This Row],[Credit]]-Account_Data[[#This Row],[Debit]]</f>
        <v>-170</v>
      </c>
      <c r="J644" s="7">
        <f>EOMONTH(Account_Data[[#This Row],[Date]],0)</f>
        <v>46081</v>
      </c>
      <c r="K644">
        <f>ABS(Account_Data[[#This Row],[Amount]])</f>
        <v>170</v>
      </c>
    </row>
    <row r="645" spans="1:11" x14ac:dyDescent="0.35">
      <c r="A645" s="73">
        <v>46076</v>
      </c>
      <c r="B645" t="s">
        <v>358</v>
      </c>
      <c r="C645" s="3">
        <v>3006</v>
      </c>
      <c r="E645" s="3">
        <v>827619.97</v>
      </c>
      <c r="F645" t="str">
        <f>TEXT(Account_Data[[#This Row],[Date]],"mmm-yyyy")</f>
        <v>Feb-2026</v>
      </c>
      <c r="G645" t="str">
        <f>IF(Account_Data[[#This Row],[Credit]]&gt;0,"Income","Expense")</f>
        <v>Expense</v>
      </c>
      <c r="H6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5" s="3">
        <f>Account_Data[[#This Row],[Credit]]-Account_Data[[#This Row],[Debit]]</f>
        <v>-3006</v>
      </c>
      <c r="J645" s="7">
        <f>EOMONTH(Account_Data[[#This Row],[Date]],0)</f>
        <v>46081</v>
      </c>
      <c r="K645">
        <f>ABS(Account_Data[[#This Row],[Amount]])</f>
        <v>3006</v>
      </c>
    </row>
    <row r="646" spans="1:11" x14ac:dyDescent="0.35">
      <c r="A646" s="73">
        <v>46076</v>
      </c>
      <c r="B646" t="s">
        <v>359</v>
      </c>
      <c r="C646" s="3">
        <v>2100</v>
      </c>
      <c r="E646" s="3">
        <v>825519.97</v>
      </c>
      <c r="F646" t="str">
        <f>TEXT(Account_Data[[#This Row],[Date]],"mmm-yyyy")</f>
        <v>Feb-2026</v>
      </c>
      <c r="G646" t="str">
        <f>IF(Account_Data[[#This Row],[Credit]]&gt;0,"Income","Expense")</f>
        <v>Expense</v>
      </c>
      <c r="H6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6" s="3">
        <f>Account_Data[[#This Row],[Credit]]-Account_Data[[#This Row],[Debit]]</f>
        <v>-2100</v>
      </c>
      <c r="J646" s="7">
        <f>EOMONTH(Account_Data[[#This Row],[Date]],0)</f>
        <v>46081</v>
      </c>
      <c r="K646">
        <f>ABS(Account_Data[[#This Row],[Amount]])</f>
        <v>2100</v>
      </c>
    </row>
    <row r="647" spans="1:11" x14ac:dyDescent="0.35">
      <c r="A647" s="73">
        <v>46077</v>
      </c>
      <c r="B647" t="s">
        <v>360</v>
      </c>
      <c r="C647" s="3">
        <v>15000</v>
      </c>
      <c r="E647" s="3">
        <v>810519.97</v>
      </c>
      <c r="F647" t="str">
        <f>TEXT(Account_Data[[#This Row],[Date]],"mmm-yyyy")</f>
        <v>Feb-2026</v>
      </c>
      <c r="G647" t="str">
        <f>IF(Account_Data[[#This Row],[Credit]]&gt;0,"Income","Expense")</f>
        <v>Expense</v>
      </c>
      <c r="H6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7" s="3">
        <f>Account_Data[[#This Row],[Credit]]-Account_Data[[#This Row],[Debit]]</f>
        <v>-15000</v>
      </c>
      <c r="J647" s="7">
        <f>EOMONTH(Account_Data[[#This Row],[Date]],0)</f>
        <v>46081</v>
      </c>
      <c r="K647">
        <f>ABS(Account_Data[[#This Row],[Amount]])</f>
        <v>15000</v>
      </c>
    </row>
    <row r="648" spans="1:11" x14ac:dyDescent="0.35">
      <c r="A648" s="73">
        <v>46077</v>
      </c>
      <c r="B648" t="s">
        <v>360</v>
      </c>
      <c r="C648" s="3">
        <v>13500</v>
      </c>
      <c r="E648" s="3">
        <v>797019.97</v>
      </c>
      <c r="F648" t="str">
        <f>TEXT(Account_Data[[#This Row],[Date]],"mmm-yyyy")</f>
        <v>Feb-2026</v>
      </c>
      <c r="G648" t="str">
        <f>IF(Account_Data[[#This Row],[Credit]]&gt;0,"Income","Expense")</f>
        <v>Expense</v>
      </c>
      <c r="H6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8" s="3">
        <f>Account_Data[[#This Row],[Credit]]-Account_Data[[#This Row],[Debit]]</f>
        <v>-13500</v>
      </c>
      <c r="J648" s="7">
        <f>EOMONTH(Account_Data[[#This Row],[Date]],0)</f>
        <v>46081</v>
      </c>
      <c r="K648">
        <f>ABS(Account_Data[[#This Row],[Amount]])</f>
        <v>13500</v>
      </c>
    </row>
    <row r="649" spans="1:11" x14ac:dyDescent="0.35">
      <c r="A649" s="73">
        <v>46077</v>
      </c>
      <c r="B649" t="s">
        <v>360</v>
      </c>
      <c r="C649" s="3">
        <v>500</v>
      </c>
      <c r="E649" s="3">
        <v>796519.97</v>
      </c>
      <c r="F649" t="str">
        <f>TEXT(Account_Data[[#This Row],[Date]],"mmm-yyyy")</f>
        <v>Feb-2026</v>
      </c>
      <c r="G649" t="str">
        <f>IF(Account_Data[[#This Row],[Credit]]&gt;0,"Income","Expense")</f>
        <v>Expense</v>
      </c>
      <c r="H6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49" s="3">
        <f>Account_Data[[#This Row],[Credit]]-Account_Data[[#This Row],[Debit]]</f>
        <v>-500</v>
      </c>
      <c r="J649" s="7">
        <f>EOMONTH(Account_Data[[#This Row],[Date]],0)</f>
        <v>46081</v>
      </c>
      <c r="K649">
        <f>ABS(Account_Data[[#This Row],[Amount]])</f>
        <v>500</v>
      </c>
    </row>
    <row r="650" spans="1:11" x14ac:dyDescent="0.35">
      <c r="A650" s="73">
        <v>46077</v>
      </c>
      <c r="B650" t="s">
        <v>257</v>
      </c>
      <c r="C650" s="3">
        <v>9500</v>
      </c>
      <c r="E650" s="3">
        <v>787019.97</v>
      </c>
      <c r="F650" t="str">
        <f>TEXT(Account_Data[[#This Row],[Date]],"mmm-yyyy")</f>
        <v>Feb-2026</v>
      </c>
      <c r="G650" t="str">
        <f>IF(Account_Data[[#This Row],[Credit]]&gt;0,"Income","Expense")</f>
        <v>Expense</v>
      </c>
      <c r="H6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50" s="3">
        <f>Account_Data[[#This Row],[Credit]]-Account_Data[[#This Row],[Debit]]</f>
        <v>-9500</v>
      </c>
      <c r="J650" s="7">
        <f>EOMONTH(Account_Data[[#This Row],[Date]],0)</f>
        <v>46081</v>
      </c>
      <c r="K650">
        <f>ABS(Account_Data[[#This Row],[Amount]])</f>
        <v>9500</v>
      </c>
    </row>
    <row r="651" spans="1:11" x14ac:dyDescent="0.35">
      <c r="A651" s="73">
        <v>46078</v>
      </c>
      <c r="B651" t="s">
        <v>361</v>
      </c>
      <c r="C651" s="3">
        <v>15000</v>
      </c>
      <c r="E651" s="3">
        <v>772019.97</v>
      </c>
      <c r="F651" t="str">
        <f>TEXT(Account_Data[[#This Row],[Date]],"mmm-yyyy")</f>
        <v>Feb-2026</v>
      </c>
      <c r="G651" t="str">
        <f>IF(Account_Data[[#This Row],[Credit]]&gt;0,"Income","Expense")</f>
        <v>Expense</v>
      </c>
      <c r="H6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1" s="3">
        <f>Account_Data[[#This Row],[Credit]]-Account_Data[[#This Row],[Debit]]</f>
        <v>-15000</v>
      </c>
      <c r="J651" s="7">
        <f>EOMONTH(Account_Data[[#This Row],[Date]],0)</f>
        <v>46081</v>
      </c>
      <c r="K651">
        <f>ABS(Account_Data[[#This Row],[Amount]])</f>
        <v>15000</v>
      </c>
    </row>
    <row r="652" spans="1:11" x14ac:dyDescent="0.35">
      <c r="A652" s="73">
        <v>46078</v>
      </c>
      <c r="B652" t="s">
        <v>362</v>
      </c>
      <c r="C652" s="3">
        <v>1080</v>
      </c>
      <c r="E652" s="3">
        <v>770939.97</v>
      </c>
      <c r="F652" t="str">
        <f>TEXT(Account_Data[[#This Row],[Date]],"mmm-yyyy")</f>
        <v>Feb-2026</v>
      </c>
      <c r="G652" t="str">
        <f>IF(Account_Data[[#This Row],[Credit]]&gt;0,"Income","Expense")</f>
        <v>Expense</v>
      </c>
      <c r="H6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2" s="3">
        <f>Account_Data[[#This Row],[Credit]]-Account_Data[[#This Row],[Debit]]</f>
        <v>-1080</v>
      </c>
      <c r="J652" s="7">
        <f>EOMONTH(Account_Data[[#This Row],[Date]],0)</f>
        <v>46081</v>
      </c>
      <c r="K652">
        <f>ABS(Account_Data[[#This Row],[Amount]])</f>
        <v>1080</v>
      </c>
    </row>
    <row r="653" spans="1:11" x14ac:dyDescent="0.35">
      <c r="A653" s="73">
        <v>46078</v>
      </c>
      <c r="B653" t="s">
        <v>363</v>
      </c>
      <c r="C653" s="3">
        <v>57375</v>
      </c>
      <c r="E653" s="3">
        <v>713564.97</v>
      </c>
      <c r="F653" t="str">
        <f>TEXT(Account_Data[[#This Row],[Date]],"mmm-yyyy")</f>
        <v>Feb-2026</v>
      </c>
      <c r="G653" t="str">
        <f>IF(Account_Data[[#This Row],[Credit]]&gt;0,"Income","Expense")</f>
        <v>Expense</v>
      </c>
      <c r="H6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3" s="3">
        <f>Account_Data[[#This Row],[Credit]]-Account_Data[[#This Row],[Debit]]</f>
        <v>-57375</v>
      </c>
      <c r="J653" s="7">
        <f>EOMONTH(Account_Data[[#This Row],[Date]],0)</f>
        <v>46081</v>
      </c>
      <c r="K653">
        <f>ABS(Account_Data[[#This Row],[Amount]])</f>
        <v>57375</v>
      </c>
    </row>
    <row r="654" spans="1:11" x14ac:dyDescent="0.35">
      <c r="A654" s="73">
        <v>46078</v>
      </c>
      <c r="B654" t="s">
        <v>357</v>
      </c>
      <c r="C654" s="3">
        <v>219</v>
      </c>
      <c r="E654" s="3">
        <v>713345.97</v>
      </c>
      <c r="F654" t="str">
        <f>TEXT(Account_Data[[#This Row],[Date]],"mmm-yyyy")</f>
        <v>Feb-2026</v>
      </c>
      <c r="G654" t="str">
        <f>IF(Account_Data[[#This Row],[Credit]]&gt;0,"Income","Expense")</f>
        <v>Expense</v>
      </c>
      <c r="H6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4" s="3">
        <f>Account_Data[[#This Row],[Credit]]-Account_Data[[#This Row],[Debit]]</f>
        <v>-219</v>
      </c>
      <c r="J654" s="7">
        <f>EOMONTH(Account_Data[[#This Row],[Date]],0)</f>
        <v>46081</v>
      </c>
      <c r="K654">
        <f>ABS(Account_Data[[#This Row],[Amount]])</f>
        <v>219</v>
      </c>
    </row>
    <row r="655" spans="1:11" x14ac:dyDescent="0.35">
      <c r="A655" s="73">
        <v>46078</v>
      </c>
      <c r="B655" t="s">
        <v>320</v>
      </c>
      <c r="C655" s="3">
        <v>280</v>
      </c>
      <c r="E655" s="3">
        <v>713065.97</v>
      </c>
      <c r="F655" t="str">
        <f>TEXT(Account_Data[[#This Row],[Date]],"mmm-yyyy")</f>
        <v>Feb-2026</v>
      </c>
      <c r="G655" t="str">
        <f>IF(Account_Data[[#This Row],[Credit]]&gt;0,"Income","Expense")</f>
        <v>Expense</v>
      </c>
      <c r="H6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5" s="3">
        <f>Account_Data[[#This Row],[Credit]]-Account_Data[[#This Row],[Debit]]</f>
        <v>-280</v>
      </c>
      <c r="J655" s="7">
        <f>EOMONTH(Account_Data[[#This Row],[Date]],0)</f>
        <v>46081</v>
      </c>
      <c r="K655">
        <f>ABS(Account_Data[[#This Row],[Amount]])</f>
        <v>280</v>
      </c>
    </row>
    <row r="656" spans="1:11" x14ac:dyDescent="0.35">
      <c r="A656" s="73">
        <v>46078</v>
      </c>
      <c r="B656" t="s">
        <v>338</v>
      </c>
      <c r="C656" s="3">
        <v>18</v>
      </c>
      <c r="E656" s="3">
        <v>713047.97</v>
      </c>
      <c r="F656" t="str">
        <f>TEXT(Account_Data[[#This Row],[Date]],"mmm-yyyy")</f>
        <v>Feb-2026</v>
      </c>
      <c r="G656" t="str">
        <f>IF(Account_Data[[#This Row],[Credit]]&gt;0,"Income","Expense")</f>
        <v>Expense</v>
      </c>
      <c r="H6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6" s="3">
        <f>Account_Data[[#This Row],[Credit]]-Account_Data[[#This Row],[Debit]]</f>
        <v>-18</v>
      </c>
      <c r="J656" s="7">
        <f>EOMONTH(Account_Data[[#This Row],[Date]],0)</f>
        <v>46081</v>
      </c>
      <c r="K656">
        <f>ABS(Account_Data[[#This Row],[Amount]])</f>
        <v>18</v>
      </c>
    </row>
    <row r="657" spans="1:11" x14ac:dyDescent="0.35">
      <c r="A657" s="73">
        <v>46079</v>
      </c>
      <c r="B657" t="s">
        <v>310</v>
      </c>
      <c r="C657" s="3">
        <v>1550</v>
      </c>
      <c r="E657" s="3">
        <v>711497.97</v>
      </c>
      <c r="F657" t="str">
        <f>TEXT(Account_Data[[#This Row],[Date]],"mmm-yyyy")</f>
        <v>Feb-2026</v>
      </c>
      <c r="G657" t="str">
        <f>IF(Account_Data[[#This Row],[Credit]]&gt;0,"Income","Expense")</f>
        <v>Expense</v>
      </c>
      <c r="H6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7" s="3">
        <f>Account_Data[[#This Row],[Credit]]-Account_Data[[#This Row],[Debit]]</f>
        <v>-1550</v>
      </c>
      <c r="J657" s="7">
        <f>EOMONTH(Account_Data[[#This Row],[Date]],0)</f>
        <v>46081</v>
      </c>
      <c r="K657">
        <f>ABS(Account_Data[[#This Row],[Amount]])</f>
        <v>1550</v>
      </c>
    </row>
    <row r="658" spans="1:11" x14ac:dyDescent="0.35">
      <c r="A658" s="73">
        <v>46079</v>
      </c>
      <c r="B658" t="s">
        <v>364</v>
      </c>
      <c r="C658" s="3">
        <v>500</v>
      </c>
      <c r="E658" s="3">
        <v>710997.97</v>
      </c>
      <c r="F658" t="str">
        <f>TEXT(Account_Data[[#This Row],[Date]],"mmm-yyyy")</f>
        <v>Feb-2026</v>
      </c>
      <c r="G658" t="str">
        <f>IF(Account_Data[[#This Row],[Credit]]&gt;0,"Income","Expense")</f>
        <v>Expense</v>
      </c>
      <c r="H6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58" s="3">
        <f>Account_Data[[#This Row],[Credit]]-Account_Data[[#This Row],[Debit]]</f>
        <v>-500</v>
      </c>
      <c r="J658" s="7">
        <f>EOMONTH(Account_Data[[#This Row],[Date]],0)</f>
        <v>46081</v>
      </c>
      <c r="K658">
        <f>ABS(Account_Data[[#This Row],[Amount]])</f>
        <v>500</v>
      </c>
    </row>
    <row r="659" spans="1:11" x14ac:dyDescent="0.35">
      <c r="A659" s="73">
        <v>46079</v>
      </c>
      <c r="B659" t="s">
        <v>498</v>
      </c>
      <c r="D659" s="3">
        <v>114840</v>
      </c>
      <c r="E659" s="3">
        <v>825837.97</v>
      </c>
      <c r="F659" t="str">
        <f>TEXT(Account_Data[[#This Row],[Date]],"mmm-yyyy")</f>
        <v>Feb-2026</v>
      </c>
      <c r="G659" t="str">
        <f>IF(Account_Data[[#This Row],[Credit]]&gt;0,"Income","Expense")</f>
        <v>Income</v>
      </c>
      <c r="H6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659" s="3">
        <f>Account_Data[[#This Row],[Credit]]-Account_Data[[#This Row],[Debit]]</f>
        <v>114840</v>
      </c>
      <c r="J659" s="7">
        <f>EOMONTH(Account_Data[[#This Row],[Date]],0)</f>
        <v>46081</v>
      </c>
      <c r="K659">
        <f>ABS(Account_Data[[#This Row],[Amount]])</f>
        <v>114840</v>
      </c>
    </row>
    <row r="660" spans="1:11" x14ac:dyDescent="0.35">
      <c r="A660" s="73">
        <v>46079</v>
      </c>
      <c r="B660" t="s">
        <v>365</v>
      </c>
      <c r="C660" s="3">
        <v>1150</v>
      </c>
      <c r="E660" s="3">
        <v>824687.97</v>
      </c>
      <c r="F660" t="str">
        <f>TEXT(Account_Data[[#This Row],[Date]],"mmm-yyyy")</f>
        <v>Feb-2026</v>
      </c>
      <c r="G660" t="str">
        <f>IF(Account_Data[[#This Row],[Credit]]&gt;0,"Income","Expense")</f>
        <v>Expense</v>
      </c>
      <c r="H6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0" s="3">
        <f>Account_Data[[#This Row],[Credit]]-Account_Data[[#This Row],[Debit]]</f>
        <v>-1150</v>
      </c>
      <c r="J660" s="7">
        <f>EOMONTH(Account_Data[[#This Row],[Date]],0)</f>
        <v>46081</v>
      </c>
      <c r="K660">
        <f>ABS(Account_Data[[#This Row],[Amount]])</f>
        <v>1150</v>
      </c>
    </row>
    <row r="661" spans="1:11" x14ac:dyDescent="0.35">
      <c r="A661" s="73">
        <v>46079</v>
      </c>
      <c r="B661" t="s">
        <v>365</v>
      </c>
      <c r="C661" s="3">
        <v>855</v>
      </c>
      <c r="E661" s="3">
        <v>823832.97</v>
      </c>
      <c r="F661" t="str">
        <f>TEXT(Account_Data[[#This Row],[Date]],"mmm-yyyy")</f>
        <v>Feb-2026</v>
      </c>
      <c r="G661" t="str">
        <f>IF(Account_Data[[#This Row],[Credit]]&gt;0,"Income","Expense")</f>
        <v>Expense</v>
      </c>
      <c r="H6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1" s="3">
        <f>Account_Data[[#This Row],[Credit]]-Account_Data[[#This Row],[Debit]]</f>
        <v>-855</v>
      </c>
      <c r="J661" s="7">
        <f>EOMONTH(Account_Data[[#This Row],[Date]],0)</f>
        <v>46081</v>
      </c>
      <c r="K661">
        <f>ABS(Account_Data[[#This Row],[Amount]])</f>
        <v>855</v>
      </c>
    </row>
    <row r="662" spans="1:11" x14ac:dyDescent="0.35">
      <c r="A662" s="73">
        <v>46080</v>
      </c>
      <c r="B662" t="s">
        <v>365</v>
      </c>
      <c r="C662" s="3">
        <v>560</v>
      </c>
      <c r="E662" s="3">
        <v>823272.97</v>
      </c>
      <c r="F662" t="str">
        <f>TEXT(Account_Data[[#This Row],[Date]],"mmm-yyyy")</f>
        <v>Feb-2026</v>
      </c>
      <c r="G662" t="str">
        <f>IF(Account_Data[[#This Row],[Credit]]&gt;0,"Income","Expense")</f>
        <v>Expense</v>
      </c>
      <c r="H6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2" s="3">
        <f>Account_Data[[#This Row],[Credit]]-Account_Data[[#This Row],[Debit]]</f>
        <v>-560</v>
      </c>
      <c r="J662" s="7">
        <f>EOMONTH(Account_Data[[#This Row],[Date]],0)</f>
        <v>46081</v>
      </c>
      <c r="K662">
        <f>ABS(Account_Data[[#This Row],[Amount]])</f>
        <v>560</v>
      </c>
    </row>
    <row r="663" spans="1:11" x14ac:dyDescent="0.35">
      <c r="A663" s="73">
        <v>46081</v>
      </c>
      <c r="B663" t="s">
        <v>357</v>
      </c>
      <c r="C663" s="3">
        <v>60</v>
      </c>
      <c r="E663" s="3">
        <v>823212.97</v>
      </c>
      <c r="F663" t="str">
        <f>TEXT(Account_Data[[#This Row],[Date]],"mmm-yyyy")</f>
        <v>Feb-2026</v>
      </c>
      <c r="G663" t="str">
        <f>IF(Account_Data[[#This Row],[Credit]]&gt;0,"Income","Expense")</f>
        <v>Expense</v>
      </c>
      <c r="H6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3" s="3">
        <f>Account_Data[[#This Row],[Credit]]-Account_Data[[#This Row],[Debit]]</f>
        <v>-60</v>
      </c>
      <c r="J663" s="7">
        <f>EOMONTH(Account_Data[[#This Row],[Date]],0)</f>
        <v>46081</v>
      </c>
      <c r="K663">
        <f>ABS(Account_Data[[#This Row],[Amount]])</f>
        <v>60</v>
      </c>
    </row>
    <row r="664" spans="1:11" x14ac:dyDescent="0.35">
      <c r="A664" s="73">
        <v>46081</v>
      </c>
      <c r="B664" t="s">
        <v>366</v>
      </c>
      <c r="C664" s="3">
        <v>265</v>
      </c>
      <c r="E664" s="3">
        <v>822947.97</v>
      </c>
      <c r="F664" t="str">
        <f>TEXT(Account_Data[[#This Row],[Date]],"mmm-yyyy")</f>
        <v>Feb-2026</v>
      </c>
      <c r="G664" t="str">
        <f>IF(Account_Data[[#This Row],[Credit]]&gt;0,"Income","Expense")</f>
        <v>Expense</v>
      </c>
      <c r="H6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4" s="3">
        <f>Account_Data[[#This Row],[Credit]]-Account_Data[[#This Row],[Debit]]</f>
        <v>-265</v>
      </c>
      <c r="J664" s="7">
        <f>EOMONTH(Account_Data[[#This Row],[Date]],0)</f>
        <v>46081</v>
      </c>
      <c r="K664">
        <f>ABS(Account_Data[[#This Row],[Amount]])</f>
        <v>265</v>
      </c>
    </row>
    <row r="665" spans="1:11" x14ac:dyDescent="0.35">
      <c r="A665" s="73">
        <v>46081</v>
      </c>
      <c r="B665" t="s">
        <v>320</v>
      </c>
      <c r="C665" s="3">
        <v>400</v>
      </c>
      <c r="E665" s="3">
        <v>822547.97</v>
      </c>
      <c r="F665" t="str">
        <f>TEXT(Account_Data[[#This Row],[Date]],"mmm-yyyy")</f>
        <v>Feb-2026</v>
      </c>
      <c r="G665" t="str">
        <f>IF(Account_Data[[#This Row],[Credit]]&gt;0,"Income","Expense")</f>
        <v>Expense</v>
      </c>
      <c r="H6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5" s="3">
        <f>Account_Data[[#This Row],[Credit]]-Account_Data[[#This Row],[Debit]]</f>
        <v>-400</v>
      </c>
      <c r="J665" s="7">
        <f>EOMONTH(Account_Data[[#This Row],[Date]],0)</f>
        <v>46081</v>
      </c>
      <c r="K665">
        <f>ABS(Account_Data[[#This Row],[Amount]])</f>
        <v>400</v>
      </c>
    </row>
    <row r="666" spans="1:11" x14ac:dyDescent="0.35">
      <c r="A666" s="73">
        <v>46081</v>
      </c>
      <c r="B666" t="s">
        <v>367</v>
      </c>
      <c r="C666" s="3">
        <v>25000</v>
      </c>
      <c r="E666" s="3">
        <v>797547.97</v>
      </c>
      <c r="F666" t="str">
        <f>TEXT(Account_Data[[#This Row],[Date]],"mmm-yyyy")</f>
        <v>Feb-2026</v>
      </c>
      <c r="G666" t="str">
        <f>IF(Account_Data[[#This Row],[Credit]]&gt;0,"Income","Expense")</f>
        <v>Expense</v>
      </c>
      <c r="H6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6" s="3">
        <f>Account_Data[[#This Row],[Credit]]-Account_Data[[#This Row],[Debit]]</f>
        <v>-25000</v>
      </c>
      <c r="J666" s="7">
        <f>EOMONTH(Account_Data[[#This Row],[Date]],0)</f>
        <v>46081</v>
      </c>
      <c r="K666">
        <f>ABS(Account_Data[[#This Row],[Amount]])</f>
        <v>25000</v>
      </c>
    </row>
    <row r="667" spans="1:11" x14ac:dyDescent="0.35">
      <c r="A667" s="73">
        <v>46081</v>
      </c>
      <c r="B667" t="s">
        <v>177</v>
      </c>
      <c r="C667" s="3">
        <v>37000</v>
      </c>
      <c r="E667" s="3">
        <v>760547.97</v>
      </c>
      <c r="F667" t="str">
        <f>TEXT(Account_Data[[#This Row],[Date]],"mmm-yyyy")</f>
        <v>Feb-2026</v>
      </c>
      <c r="G667" t="str">
        <f>IF(Account_Data[[#This Row],[Credit]]&gt;0,"Income","Expense")</f>
        <v>Expense</v>
      </c>
      <c r="H6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7" s="3">
        <f>Account_Data[[#This Row],[Credit]]-Account_Data[[#This Row],[Debit]]</f>
        <v>-37000</v>
      </c>
      <c r="J667" s="7">
        <f>EOMONTH(Account_Data[[#This Row],[Date]],0)</f>
        <v>46081</v>
      </c>
      <c r="K667">
        <f>ABS(Account_Data[[#This Row],[Amount]])</f>
        <v>37000</v>
      </c>
    </row>
    <row r="668" spans="1:11" x14ac:dyDescent="0.35">
      <c r="A668" s="73">
        <v>46081</v>
      </c>
      <c r="B668" t="s">
        <v>135</v>
      </c>
      <c r="D668" s="3">
        <v>37000</v>
      </c>
      <c r="E668" s="3">
        <v>797547.97</v>
      </c>
      <c r="F668" t="str">
        <f>TEXT(Account_Data[[#This Row],[Date]],"mmm-yyyy")</f>
        <v>Feb-2026</v>
      </c>
      <c r="G668" t="str">
        <f>IF(Account_Data[[#This Row],[Credit]]&gt;0,"Income","Expense")</f>
        <v>Income</v>
      </c>
      <c r="H6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68" s="3">
        <f>Account_Data[[#This Row],[Credit]]-Account_Data[[#This Row],[Debit]]</f>
        <v>37000</v>
      </c>
      <c r="J668" s="7">
        <f>EOMONTH(Account_Data[[#This Row],[Date]],0)</f>
        <v>46081</v>
      </c>
      <c r="K668">
        <f>ABS(Account_Data[[#This Row],[Amount]])</f>
        <v>37000</v>
      </c>
    </row>
    <row r="669" spans="1:11" x14ac:dyDescent="0.35">
      <c r="A669" s="73">
        <v>46081</v>
      </c>
      <c r="B669" t="s">
        <v>355</v>
      </c>
      <c r="C669" s="3">
        <v>37000</v>
      </c>
      <c r="E669" s="3">
        <v>760547.97</v>
      </c>
      <c r="F669" t="str">
        <f>TEXT(Account_Data[[#This Row],[Date]],"mmm-yyyy")</f>
        <v>Feb-2026</v>
      </c>
      <c r="G669" t="str">
        <f>IF(Account_Data[[#This Row],[Credit]]&gt;0,"Income","Expense")</f>
        <v>Expense</v>
      </c>
      <c r="H6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669" s="3">
        <f>Account_Data[[#This Row],[Credit]]-Account_Data[[#This Row],[Debit]]</f>
        <v>-37000</v>
      </c>
      <c r="J669" s="7">
        <f>EOMONTH(Account_Data[[#This Row],[Date]],0)</f>
        <v>46081</v>
      </c>
      <c r="K669">
        <f>ABS(Account_Data[[#This Row],[Amount]])</f>
        <v>37000</v>
      </c>
    </row>
    <row r="670" spans="1:11" x14ac:dyDescent="0.35">
      <c r="A670" s="73">
        <v>46081</v>
      </c>
      <c r="B670" t="s">
        <v>357</v>
      </c>
      <c r="C670" s="3">
        <v>330</v>
      </c>
      <c r="E670" s="3">
        <v>760217.97</v>
      </c>
      <c r="F670" t="str">
        <f>TEXT(Account_Data[[#This Row],[Date]],"mmm-yyyy")</f>
        <v>Feb-2026</v>
      </c>
      <c r="G670" t="str">
        <f>IF(Account_Data[[#This Row],[Credit]]&gt;0,"Income","Expense")</f>
        <v>Expense</v>
      </c>
      <c r="H6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0" s="3">
        <f>Account_Data[[#This Row],[Credit]]-Account_Data[[#This Row],[Debit]]</f>
        <v>-330</v>
      </c>
      <c r="J670" s="7">
        <f>EOMONTH(Account_Data[[#This Row],[Date]],0)</f>
        <v>46081</v>
      </c>
      <c r="K670">
        <f>ABS(Account_Data[[#This Row],[Amount]])</f>
        <v>330</v>
      </c>
    </row>
    <row r="671" spans="1:11" x14ac:dyDescent="0.35">
      <c r="A671" s="73">
        <v>46082</v>
      </c>
      <c r="B671" t="s">
        <v>326</v>
      </c>
      <c r="C671" s="3">
        <v>1000</v>
      </c>
      <c r="E671" s="3">
        <v>759217.97</v>
      </c>
      <c r="F671" t="str">
        <f>TEXT(Account_Data[[#This Row],[Date]],"mmm-yyyy")</f>
        <v>Mar-2026</v>
      </c>
      <c r="G671" t="str">
        <f>IF(Account_Data[[#This Row],[Credit]]&gt;0,"Income","Expense")</f>
        <v>Expense</v>
      </c>
      <c r="H6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1" s="3">
        <f>Account_Data[[#This Row],[Credit]]-Account_Data[[#This Row],[Debit]]</f>
        <v>-1000</v>
      </c>
      <c r="J671" s="7">
        <f>EOMONTH(Account_Data[[#This Row],[Date]],0)</f>
        <v>46112</v>
      </c>
      <c r="K671">
        <f>ABS(Account_Data[[#This Row],[Amount]])</f>
        <v>1000</v>
      </c>
    </row>
    <row r="672" spans="1:11" x14ac:dyDescent="0.35">
      <c r="A672" s="73">
        <v>46082</v>
      </c>
      <c r="B672" t="s">
        <v>368</v>
      </c>
      <c r="C672" s="3">
        <v>20000</v>
      </c>
      <c r="E672" s="3">
        <v>739217.97</v>
      </c>
      <c r="F672" t="str">
        <f>TEXT(Account_Data[[#This Row],[Date]],"mmm-yyyy")</f>
        <v>Mar-2026</v>
      </c>
      <c r="G672" t="str">
        <f>IF(Account_Data[[#This Row],[Credit]]&gt;0,"Income","Expense")</f>
        <v>Expense</v>
      </c>
      <c r="H6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672" s="3">
        <f>Account_Data[[#This Row],[Credit]]-Account_Data[[#This Row],[Debit]]</f>
        <v>-20000</v>
      </c>
      <c r="J672" s="7">
        <f>EOMONTH(Account_Data[[#This Row],[Date]],0)</f>
        <v>46112</v>
      </c>
      <c r="K672">
        <f>ABS(Account_Data[[#This Row],[Amount]])</f>
        <v>20000</v>
      </c>
    </row>
    <row r="673" spans="1:11" x14ac:dyDescent="0.35">
      <c r="A673" s="73">
        <v>46082</v>
      </c>
      <c r="B673" t="s">
        <v>369</v>
      </c>
      <c r="C673" s="3">
        <v>443</v>
      </c>
      <c r="E673" s="3">
        <v>738774.97</v>
      </c>
      <c r="F673" t="str">
        <f>TEXT(Account_Data[[#This Row],[Date]],"mmm-yyyy")</f>
        <v>Mar-2026</v>
      </c>
      <c r="G673" t="str">
        <f>IF(Account_Data[[#This Row],[Credit]]&gt;0,"Income","Expense")</f>
        <v>Expense</v>
      </c>
      <c r="H6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3" s="3">
        <f>Account_Data[[#This Row],[Credit]]-Account_Data[[#This Row],[Debit]]</f>
        <v>-443</v>
      </c>
      <c r="J673" s="7">
        <f>EOMONTH(Account_Data[[#This Row],[Date]],0)</f>
        <v>46112</v>
      </c>
      <c r="K673">
        <f>ABS(Account_Data[[#This Row],[Amount]])</f>
        <v>443</v>
      </c>
    </row>
    <row r="674" spans="1:11" x14ac:dyDescent="0.35">
      <c r="A674" s="73">
        <v>46082</v>
      </c>
      <c r="B674" t="s">
        <v>90</v>
      </c>
      <c r="C674" s="3">
        <v>1000</v>
      </c>
      <c r="E674" s="3">
        <v>737774.97</v>
      </c>
      <c r="F674" t="str">
        <f>TEXT(Account_Data[[#This Row],[Date]],"mmm-yyyy")</f>
        <v>Mar-2026</v>
      </c>
      <c r="G674" t="str">
        <f>IF(Account_Data[[#This Row],[Credit]]&gt;0,"Income","Expense")</f>
        <v>Expense</v>
      </c>
      <c r="H6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674" s="3">
        <f>Account_Data[[#This Row],[Credit]]-Account_Data[[#This Row],[Debit]]</f>
        <v>-1000</v>
      </c>
      <c r="J674" s="7">
        <f>EOMONTH(Account_Data[[#This Row],[Date]],0)</f>
        <v>46112</v>
      </c>
      <c r="K674">
        <f>ABS(Account_Data[[#This Row],[Amount]])</f>
        <v>1000</v>
      </c>
    </row>
    <row r="675" spans="1:11" x14ac:dyDescent="0.35">
      <c r="A675" s="73">
        <v>46082</v>
      </c>
      <c r="B675" t="s">
        <v>220</v>
      </c>
      <c r="C675" s="3">
        <v>583</v>
      </c>
      <c r="E675" s="3">
        <v>737191.97</v>
      </c>
      <c r="F675" t="str">
        <f>TEXT(Account_Data[[#This Row],[Date]],"mmm-yyyy")</f>
        <v>Mar-2026</v>
      </c>
      <c r="G675" t="str">
        <f>IF(Account_Data[[#This Row],[Credit]]&gt;0,"Income","Expense")</f>
        <v>Expense</v>
      </c>
      <c r="H6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5" s="3">
        <f>Account_Data[[#This Row],[Credit]]-Account_Data[[#This Row],[Debit]]</f>
        <v>-583</v>
      </c>
      <c r="J675" s="7">
        <f>EOMONTH(Account_Data[[#This Row],[Date]],0)</f>
        <v>46112</v>
      </c>
      <c r="K675">
        <f>ABS(Account_Data[[#This Row],[Amount]])</f>
        <v>583</v>
      </c>
    </row>
    <row r="676" spans="1:11" x14ac:dyDescent="0.35">
      <c r="A676" s="73">
        <v>46082</v>
      </c>
      <c r="B676" t="s">
        <v>367</v>
      </c>
      <c r="C676" s="3">
        <v>25000</v>
      </c>
      <c r="E676" s="3">
        <v>712191.97</v>
      </c>
      <c r="F676" t="str">
        <f>TEXT(Account_Data[[#This Row],[Date]],"mmm-yyyy")</f>
        <v>Mar-2026</v>
      </c>
      <c r="G676" t="str">
        <f>IF(Account_Data[[#This Row],[Credit]]&gt;0,"Income","Expense")</f>
        <v>Expense</v>
      </c>
      <c r="H6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6" s="3">
        <f>Account_Data[[#This Row],[Credit]]-Account_Data[[#This Row],[Debit]]</f>
        <v>-25000</v>
      </c>
      <c r="J676" s="7">
        <f>EOMONTH(Account_Data[[#This Row],[Date]],0)</f>
        <v>46112</v>
      </c>
      <c r="K676">
        <f>ABS(Account_Data[[#This Row],[Amount]])</f>
        <v>25000</v>
      </c>
    </row>
    <row r="677" spans="1:11" x14ac:dyDescent="0.35">
      <c r="A677" s="73">
        <v>46082</v>
      </c>
      <c r="B677" t="s">
        <v>319</v>
      </c>
      <c r="C677" s="3">
        <v>56900</v>
      </c>
      <c r="E677" s="3">
        <v>655291.97</v>
      </c>
      <c r="F677" t="str">
        <f>TEXT(Account_Data[[#This Row],[Date]],"mmm-yyyy")</f>
        <v>Mar-2026</v>
      </c>
      <c r="G677" t="str">
        <f>IF(Account_Data[[#This Row],[Credit]]&gt;0,"Income","Expense")</f>
        <v>Expense</v>
      </c>
      <c r="H6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7" s="3">
        <f>Account_Data[[#This Row],[Credit]]-Account_Data[[#This Row],[Debit]]</f>
        <v>-56900</v>
      </c>
      <c r="J677" s="7">
        <f>EOMONTH(Account_Data[[#This Row],[Date]],0)</f>
        <v>46112</v>
      </c>
      <c r="K677">
        <f>ABS(Account_Data[[#This Row],[Amount]])</f>
        <v>56900</v>
      </c>
    </row>
    <row r="678" spans="1:11" x14ac:dyDescent="0.35">
      <c r="A678" s="73">
        <v>46082</v>
      </c>
      <c r="B678" t="s">
        <v>348</v>
      </c>
      <c r="C678" s="3">
        <v>915</v>
      </c>
      <c r="E678" s="3">
        <v>654376.97</v>
      </c>
      <c r="F678" t="str">
        <f>TEXT(Account_Data[[#This Row],[Date]],"mmm-yyyy")</f>
        <v>Mar-2026</v>
      </c>
      <c r="G678" t="str">
        <f>IF(Account_Data[[#This Row],[Credit]]&gt;0,"Income","Expense")</f>
        <v>Expense</v>
      </c>
      <c r="H6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78" s="3">
        <f>Account_Data[[#This Row],[Credit]]-Account_Data[[#This Row],[Debit]]</f>
        <v>-915</v>
      </c>
      <c r="J678" s="7">
        <f>EOMONTH(Account_Data[[#This Row],[Date]],0)</f>
        <v>46112</v>
      </c>
      <c r="K678">
        <f>ABS(Account_Data[[#This Row],[Amount]])</f>
        <v>915</v>
      </c>
    </row>
    <row r="679" spans="1:11" x14ac:dyDescent="0.35">
      <c r="A679" s="73">
        <v>46083</v>
      </c>
      <c r="B679" t="s">
        <v>89</v>
      </c>
      <c r="C679" s="3">
        <v>2000</v>
      </c>
      <c r="E679" s="3">
        <v>652376.97</v>
      </c>
      <c r="F679" t="str">
        <f>TEXT(Account_Data[[#This Row],[Date]],"mmm-yyyy")</f>
        <v>Mar-2026</v>
      </c>
      <c r="G679" t="str">
        <f>IF(Account_Data[[#This Row],[Credit]]&gt;0,"Income","Expense")</f>
        <v>Expense</v>
      </c>
      <c r="H6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79" s="3">
        <f>Account_Data[[#This Row],[Credit]]-Account_Data[[#This Row],[Debit]]</f>
        <v>-2000</v>
      </c>
      <c r="J679" s="7">
        <f>EOMONTH(Account_Data[[#This Row],[Date]],0)</f>
        <v>46112</v>
      </c>
      <c r="K679">
        <f>ABS(Account_Data[[#This Row],[Amount]])</f>
        <v>2000</v>
      </c>
    </row>
    <row r="680" spans="1:11" x14ac:dyDescent="0.35">
      <c r="A680" s="73">
        <v>46083</v>
      </c>
      <c r="B680" t="s">
        <v>89</v>
      </c>
      <c r="C680" s="3">
        <v>2000</v>
      </c>
      <c r="E680" s="3">
        <v>650376.97</v>
      </c>
      <c r="F680" t="str">
        <f>TEXT(Account_Data[[#This Row],[Date]],"mmm-yyyy")</f>
        <v>Mar-2026</v>
      </c>
      <c r="G680" t="str">
        <f>IF(Account_Data[[#This Row],[Credit]]&gt;0,"Income","Expense")</f>
        <v>Expense</v>
      </c>
      <c r="H6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0" s="3">
        <f>Account_Data[[#This Row],[Credit]]-Account_Data[[#This Row],[Debit]]</f>
        <v>-2000</v>
      </c>
      <c r="J680" s="7">
        <f>EOMONTH(Account_Data[[#This Row],[Date]],0)</f>
        <v>46112</v>
      </c>
      <c r="K680">
        <f>ABS(Account_Data[[#This Row],[Amount]])</f>
        <v>2000</v>
      </c>
    </row>
    <row r="681" spans="1:11" x14ac:dyDescent="0.35">
      <c r="A681" s="73">
        <v>46083</v>
      </c>
      <c r="B681" t="s">
        <v>89</v>
      </c>
      <c r="C681" s="3">
        <v>5000</v>
      </c>
      <c r="E681" s="3">
        <v>645376.97</v>
      </c>
      <c r="F681" t="str">
        <f>TEXT(Account_Data[[#This Row],[Date]],"mmm-yyyy")</f>
        <v>Mar-2026</v>
      </c>
      <c r="G681" t="str">
        <f>IF(Account_Data[[#This Row],[Credit]]&gt;0,"Income","Expense")</f>
        <v>Expense</v>
      </c>
      <c r="H6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1" s="3">
        <f>Account_Data[[#This Row],[Credit]]-Account_Data[[#This Row],[Debit]]</f>
        <v>-5000</v>
      </c>
      <c r="J681" s="7">
        <f>EOMONTH(Account_Data[[#This Row],[Date]],0)</f>
        <v>46112</v>
      </c>
      <c r="K681">
        <f>ABS(Account_Data[[#This Row],[Amount]])</f>
        <v>5000</v>
      </c>
    </row>
    <row r="682" spans="1:11" x14ac:dyDescent="0.35">
      <c r="A682" s="73">
        <v>46083</v>
      </c>
      <c r="B682" t="s">
        <v>89</v>
      </c>
      <c r="C682" s="3">
        <v>3000</v>
      </c>
      <c r="E682" s="3">
        <v>642376.97</v>
      </c>
      <c r="F682" t="str">
        <f>TEXT(Account_Data[[#This Row],[Date]],"mmm-yyyy")</f>
        <v>Mar-2026</v>
      </c>
      <c r="G682" t="str">
        <f>IF(Account_Data[[#This Row],[Credit]]&gt;0,"Income","Expense")</f>
        <v>Expense</v>
      </c>
      <c r="H6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2" s="3">
        <f>Account_Data[[#This Row],[Credit]]-Account_Data[[#This Row],[Debit]]</f>
        <v>-3000</v>
      </c>
      <c r="J682" s="7">
        <f>EOMONTH(Account_Data[[#This Row],[Date]],0)</f>
        <v>46112</v>
      </c>
      <c r="K682">
        <f>ABS(Account_Data[[#This Row],[Amount]])</f>
        <v>3000</v>
      </c>
    </row>
    <row r="683" spans="1:11" x14ac:dyDescent="0.35">
      <c r="A683" s="73">
        <v>46083</v>
      </c>
      <c r="B683" t="s">
        <v>89</v>
      </c>
      <c r="C683" s="3">
        <v>2000</v>
      </c>
      <c r="E683" s="3">
        <v>640376.97</v>
      </c>
      <c r="F683" t="str">
        <f>TEXT(Account_Data[[#This Row],[Date]],"mmm-yyyy")</f>
        <v>Mar-2026</v>
      </c>
      <c r="G683" t="str">
        <f>IF(Account_Data[[#This Row],[Credit]]&gt;0,"Income","Expense")</f>
        <v>Expense</v>
      </c>
      <c r="H6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3" s="3">
        <f>Account_Data[[#This Row],[Credit]]-Account_Data[[#This Row],[Debit]]</f>
        <v>-2000</v>
      </c>
      <c r="J683" s="7">
        <f>EOMONTH(Account_Data[[#This Row],[Date]],0)</f>
        <v>46112</v>
      </c>
      <c r="K683">
        <f>ABS(Account_Data[[#This Row],[Amount]])</f>
        <v>2000</v>
      </c>
    </row>
    <row r="684" spans="1:11" x14ac:dyDescent="0.35">
      <c r="A684" s="73">
        <v>46083</v>
      </c>
      <c r="B684" t="s">
        <v>91</v>
      </c>
      <c r="C684" s="3">
        <v>7717</v>
      </c>
      <c r="E684" s="3">
        <v>632659.97</v>
      </c>
      <c r="F684" t="str">
        <f>TEXT(Account_Data[[#This Row],[Date]],"mmm-yyyy")</f>
        <v>Mar-2026</v>
      </c>
      <c r="G684" t="str">
        <f>IF(Account_Data[[#This Row],[Credit]]&gt;0,"Income","Expense")</f>
        <v>Expense</v>
      </c>
      <c r="H6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4" s="3">
        <f>Account_Data[[#This Row],[Credit]]-Account_Data[[#This Row],[Debit]]</f>
        <v>-7717</v>
      </c>
      <c r="J684" s="7">
        <f>EOMONTH(Account_Data[[#This Row],[Date]],0)</f>
        <v>46112</v>
      </c>
      <c r="K684">
        <f>ABS(Account_Data[[#This Row],[Amount]])</f>
        <v>7717</v>
      </c>
    </row>
    <row r="685" spans="1:11" x14ac:dyDescent="0.35">
      <c r="A685" s="73">
        <v>46083</v>
      </c>
      <c r="B685" t="s">
        <v>91</v>
      </c>
      <c r="C685" s="3">
        <v>8704</v>
      </c>
      <c r="E685" s="3">
        <v>623955.97</v>
      </c>
      <c r="F685" t="str">
        <f>TEXT(Account_Data[[#This Row],[Date]],"mmm-yyyy")</f>
        <v>Mar-2026</v>
      </c>
      <c r="G685" t="str">
        <f>IF(Account_Data[[#This Row],[Credit]]&gt;0,"Income","Expense")</f>
        <v>Expense</v>
      </c>
      <c r="H6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85" s="3">
        <f>Account_Data[[#This Row],[Credit]]-Account_Data[[#This Row],[Debit]]</f>
        <v>-8704</v>
      </c>
      <c r="J685" s="7">
        <f>EOMONTH(Account_Data[[#This Row],[Date]],0)</f>
        <v>46112</v>
      </c>
      <c r="K685">
        <f>ABS(Account_Data[[#This Row],[Amount]])</f>
        <v>8704</v>
      </c>
    </row>
    <row r="686" spans="1:11" x14ac:dyDescent="0.35">
      <c r="A686" s="73">
        <v>46083</v>
      </c>
      <c r="B686" t="s">
        <v>90</v>
      </c>
      <c r="C686" s="3">
        <v>1500</v>
      </c>
      <c r="E686" s="3">
        <v>622455.97</v>
      </c>
      <c r="F686" t="str">
        <f>TEXT(Account_Data[[#This Row],[Date]],"mmm-yyyy")</f>
        <v>Mar-2026</v>
      </c>
      <c r="G686" t="str">
        <f>IF(Account_Data[[#This Row],[Credit]]&gt;0,"Income","Expense")</f>
        <v>Expense</v>
      </c>
      <c r="H6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686" s="3">
        <f>Account_Data[[#This Row],[Credit]]-Account_Data[[#This Row],[Debit]]</f>
        <v>-1500</v>
      </c>
      <c r="J686" s="7">
        <f>EOMONTH(Account_Data[[#This Row],[Date]],0)</f>
        <v>46112</v>
      </c>
      <c r="K686">
        <f>ABS(Account_Data[[#This Row],[Amount]])</f>
        <v>1500</v>
      </c>
    </row>
    <row r="687" spans="1:11" x14ac:dyDescent="0.35">
      <c r="A687" s="73">
        <v>46083</v>
      </c>
      <c r="B687" t="s">
        <v>99</v>
      </c>
      <c r="C687" s="3">
        <v>1000</v>
      </c>
      <c r="E687" s="3">
        <v>621455.97</v>
      </c>
      <c r="F687" t="str">
        <f>TEXT(Account_Data[[#This Row],[Date]],"mmm-yyyy")</f>
        <v>Mar-2026</v>
      </c>
      <c r="G687" t="str">
        <f>IF(Account_Data[[#This Row],[Credit]]&gt;0,"Income","Expense")</f>
        <v>Expense</v>
      </c>
      <c r="H6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687" s="3">
        <f>Account_Data[[#This Row],[Credit]]-Account_Data[[#This Row],[Debit]]</f>
        <v>-1000</v>
      </c>
      <c r="J687" s="7">
        <f>EOMONTH(Account_Data[[#This Row],[Date]],0)</f>
        <v>46112</v>
      </c>
      <c r="K687">
        <f>ABS(Account_Data[[#This Row],[Amount]])</f>
        <v>1000</v>
      </c>
    </row>
    <row r="688" spans="1:11" x14ac:dyDescent="0.35">
      <c r="A688" s="73">
        <v>46083</v>
      </c>
      <c r="B688" t="s">
        <v>356</v>
      </c>
      <c r="C688" s="3">
        <v>25000</v>
      </c>
      <c r="E688" s="3">
        <v>596455.97</v>
      </c>
      <c r="F688" t="str">
        <f>TEXT(Account_Data[[#This Row],[Date]],"mmm-yyyy")</f>
        <v>Mar-2026</v>
      </c>
      <c r="G688" t="str">
        <f>IF(Account_Data[[#This Row],[Credit]]&gt;0,"Income","Expense")</f>
        <v>Expense</v>
      </c>
      <c r="H6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688" s="3">
        <f>Account_Data[[#This Row],[Credit]]-Account_Data[[#This Row],[Debit]]</f>
        <v>-25000</v>
      </c>
      <c r="J688" s="7">
        <f>EOMONTH(Account_Data[[#This Row],[Date]],0)</f>
        <v>46112</v>
      </c>
      <c r="K688">
        <f>ABS(Account_Data[[#This Row],[Amount]])</f>
        <v>25000</v>
      </c>
    </row>
    <row r="689" spans="1:11" x14ac:dyDescent="0.35">
      <c r="A689" s="73">
        <v>46084</v>
      </c>
      <c r="B689" t="s">
        <v>370</v>
      </c>
      <c r="C689" s="3">
        <v>1060.82</v>
      </c>
      <c r="E689" s="3">
        <v>595395.15</v>
      </c>
      <c r="F689" t="str">
        <f>TEXT(Account_Data[[#This Row],[Date]],"mmm-yyyy")</f>
        <v>Mar-2026</v>
      </c>
      <c r="G689" t="str">
        <f>IF(Account_Data[[#This Row],[Credit]]&gt;0,"Income","Expense")</f>
        <v>Expense</v>
      </c>
      <c r="H6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89" s="3">
        <f>Account_Data[[#This Row],[Credit]]-Account_Data[[#This Row],[Debit]]</f>
        <v>-1060.82</v>
      </c>
      <c r="J689" s="7">
        <f>EOMONTH(Account_Data[[#This Row],[Date]],0)</f>
        <v>46112</v>
      </c>
      <c r="K689">
        <f>ABS(Account_Data[[#This Row],[Amount]])</f>
        <v>1060.82</v>
      </c>
    </row>
    <row r="690" spans="1:11" x14ac:dyDescent="0.35">
      <c r="A690" s="73">
        <v>46084</v>
      </c>
      <c r="B690" t="s">
        <v>352</v>
      </c>
      <c r="C690" s="3">
        <v>2100</v>
      </c>
      <c r="E690" s="3">
        <v>593295.15</v>
      </c>
      <c r="F690" t="str">
        <f>TEXT(Account_Data[[#This Row],[Date]],"mmm-yyyy")</f>
        <v>Mar-2026</v>
      </c>
      <c r="G690" t="str">
        <f>IF(Account_Data[[#This Row],[Credit]]&gt;0,"Income","Expense")</f>
        <v>Expense</v>
      </c>
      <c r="H6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0" s="3">
        <f>Account_Data[[#This Row],[Credit]]-Account_Data[[#This Row],[Debit]]</f>
        <v>-2100</v>
      </c>
      <c r="J690" s="7">
        <f>EOMONTH(Account_Data[[#This Row],[Date]],0)</f>
        <v>46112</v>
      </c>
      <c r="K690">
        <f>ABS(Account_Data[[#This Row],[Amount]])</f>
        <v>2100</v>
      </c>
    </row>
    <row r="691" spans="1:11" x14ac:dyDescent="0.35">
      <c r="A691" s="73">
        <v>46085</v>
      </c>
      <c r="B691" t="s">
        <v>91</v>
      </c>
      <c r="C691" s="3">
        <v>60700</v>
      </c>
      <c r="E691" s="3">
        <v>532595.15</v>
      </c>
      <c r="F691" t="str">
        <f>TEXT(Account_Data[[#This Row],[Date]],"mmm-yyyy")</f>
        <v>Mar-2026</v>
      </c>
      <c r="G691" t="str">
        <f>IF(Account_Data[[#This Row],[Credit]]&gt;0,"Income","Expense")</f>
        <v>Expense</v>
      </c>
      <c r="H6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91" s="3">
        <f>Account_Data[[#This Row],[Credit]]-Account_Data[[#This Row],[Debit]]</f>
        <v>-60700</v>
      </c>
      <c r="J691" s="7">
        <f>EOMONTH(Account_Data[[#This Row],[Date]],0)</f>
        <v>46112</v>
      </c>
      <c r="K691">
        <f>ABS(Account_Data[[#This Row],[Amount]])</f>
        <v>60700</v>
      </c>
    </row>
    <row r="692" spans="1:11" x14ac:dyDescent="0.35">
      <c r="A692" s="73">
        <v>46085</v>
      </c>
      <c r="B692" t="s">
        <v>91</v>
      </c>
      <c r="C692" s="3">
        <v>6280</v>
      </c>
      <c r="E692" s="3">
        <v>526315.15</v>
      </c>
      <c r="F692" t="str">
        <f>TEXT(Account_Data[[#This Row],[Date]],"mmm-yyyy")</f>
        <v>Mar-2026</v>
      </c>
      <c r="G692" t="str">
        <f>IF(Account_Data[[#This Row],[Credit]]&gt;0,"Income","Expense")</f>
        <v>Expense</v>
      </c>
      <c r="H6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92" s="3">
        <f>Account_Data[[#This Row],[Credit]]-Account_Data[[#This Row],[Debit]]</f>
        <v>-6280</v>
      </c>
      <c r="J692" s="7">
        <f>EOMONTH(Account_Data[[#This Row],[Date]],0)</f>
        <v>46112</v>
      </c>
      <c r="K692">
        <f>ABS(Account_Data[[#This Row],[Amount]])</f>
        <v>6280</v>
      </c>
    </row>
    <row r="693" spans="1:11" x14ac:dyDescent="0.35">
      <c r="A693" s="73">
        <v>46085</v>
      </c>
      <c r="B693" t="s">
        <v>89</v>
      </c>
      <c r="C693" s="3">
        <v>10000</v>
      </c>
      <c r="E693" s="3">
        <v>516315.15</v>
      </c>
      <c r="F693" t="str">
        <f>TEXT(Account_Data[[#This Row],[Date]],"mmm-yyyy")</f>
        <v>Mar-2026</v>
      </c>
      <c r="G693" t="str">
        <f>IF(Account_Data[[#This Row],[Credit]]&gt;0,"Income","Expense")</f>
        <v>Expense</v>
      </c>
      <c r="H6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693" s="3">
        <f>Account_Data[[#This Row],[Credit]]-Account_Data[[#This Row],[Debit]]</f>
        <v>-10000</v>
      </c>
      <c r="J693" s="7">
        <f>EOMONTH(Account_Data[[#This Row],[Date]],0)</f>
        <v>46112</v>
      </c>
      <c r="K693">
        <f>ABS(Account_Data[[#This Row],[Amount]])</f>
        <v>10000</v>
      </c>
    </row>
    <row r="694" spans="1:11" x14ac:dyDescent="0.35">
      <c r="A694" s="73">
        <v>46086</v>
      </c>
      <c r="B694" t="s">
        <v>146</v>
      </c>
      <c r="C694" s="3">
        <v>50</v>
      </c>
      <c r="E694" s="3">
        <v>516265.15</v>
      </c>
      <c r="F694" t="str">
        <f>TEXT(Account_Data[[#This Row],[Date]],"mmm-yyyy")</f>
        <v>Mar-2026</v>
      </c>
      <c r="G694" t="str">
        <f>IF(Account_Data[[#This Row],[Credit]]&gt;0,"Income","Expense")</f>
        <v>Expense</v>
      </c>
      <c r="H6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4" s="3">
        <f>Account_Data[[#This Row],[Credit]]-Account_Data[[#This Row],[Debit]]</f>
        <v>-50</v>
      </c>
      <c r="J694" s="7">
        <f>EOMONTH(Account_Data[[#This Row],[Date]],0)</f>
        <v>46112</v>
      </c>
      <c r="K694">
        <f>ABS(Account_Data[[#This Row],[Amount]])</f>
        <v>50</v>
      </c>
    </row>
    <row r="695" spans="1:11" x14ac:dyDescent="0.35">
      <c r="A695" s="73">
        <v>46087</v>
      </c>
      <c r="B695" t="s">
        <v>371</v>
      </c>
      <c r="C695" s="3">
        <v>470</v>
      </c>
      <c r="E695" s="3">
        <v>515795.15</v>
      </c>
      <c r="F695" t="str">
        <f>TEXT(Account_Data[[#This Row],[Date]],"mmm-yyyy")</f>
        <v>Mar-2026</v>
      </c>
      <c r="G695" t="str">
        <f>IF(Account_Data[[#This Row],[Credit]]&gt;0,"Income","Expense")</f>
        <v>Expense</v>
      </c>
      <c r="H6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5" s="3">
        <f>Account_Data[[#This Row],[Credit]]-Account_Data[[#This Row],[Debit]]</f>
        <v>-470</v>
      </c>
      <c r="J695" s="7">
        <f>EOMONTH(Account_Data[[#This Row],[Date]],0)</f>
        <v>46112</v>
      </c>
      <c r="K695">
        <f>ABS(Account_Data[[#This Row],[Amount]])</f>
        <v>470</v>
      </c>
    </row>
    <row r="696" spans="1:11" x14ac:dyDescent="0.35">
      <c r="A696" s="73">
        <v>46087</v>
      </c>
      <c r="B696" t="s">
        <v>357</v>
      </c>
      <c r="C696" s="3">
        <v>615</v>
      </c>
      <c r="E696" s="3">
        <v>515180.15</v>
      </c>
      <c r="F696" t="str">
        <f>TEXT(Account_Data[[#This Row],[Date]],"mmm-yyyy")</f>
        <v>Mar-2026</v>
      </c>
      <c r="G696" t="str">
        <f>IF(Account_Data[[#This Row],[Credit]]&gt;0,"Income","Expense")</f>
        <v>Expense</v>
      </c>
      <c r="H6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6" s="3">
        <f>Account_Data[[#This Row],[Credit]]-Account_Data[[#This Row],[Debit]]</f>
        <v>-615</v>
      </c>
      <c r="J696" s="7">
        <f>EOMONTH(Account_Data[[#This Row],[Date]],0)</f>
        <v>46112</v>
      </c>
      <c r="K696">
        <f>ABS(Account_Data[[#This Row],[Amount]])</f>
        <v>615</v>
      </c>
    </row>
    <row r="697" spans="1:11" x14ac:dyDescent="0.35">
      <c r="A697" s="73">
        <v>46087</v>
      </c>
      <c r="B697" t="s">
        <v>165</v>
      </c>
      <c r="C697" s="3">
        <v>318</v>
      </c>
      <c r="E697" s="3">
        <v>514862.15</v>
      </c>
      <c r="F697" t="str">
        <f>TEXT(Account_Data[[#This Row],[Date]],"mmm-yyyy")</f>
        <v>Mar-2026</v>
      </c>
      <c r="G697" t="str">
        <f>IF(Account_Data[[#This Row],[Credit]]&gt;0,"Income","Expense")</f>
        <v>Expense</v>
      </c>
      <c r="H6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7" s="3">
        <f>Account_Data[[#This Row],[Credit]]-Account_Data[[#This Row],[Debit]]</f>
        <v>-318</v>
      </c>
      <c r="J697" s="7">
        <f>EOMONTH(Account_Data[[#This Row],[Date]],0)</f>
        <v>46112</v>
      </c>
      <c r="K697">
        <f>ABS(Account_Data[[#This Row],[Amount]])</f>
        <v>318</v>
      </c>
    </row>
    <row r="698" spans="1:11" x14ac:dyDescent="0.35">
      <c r="A698" s="73">
        <v>46087</v>
      </c>
      <c r="B698" t="s">
        <v>372</v>
      </c>
      <c r="C698" s="3">
        <v>4000</v>
      </c>
      <c r="E698" s="3">
        <v>510862.15</v>
      </c>
      <c r="F698" t="str">
        <f>TEXT(Account_Data[[#This Row],[Date]],"mmm-yyyy")</f>
        <v>Mar-2026</v>
      </c>
      <c r="G698" t="str">
        <f>IF(Account_Data[[#This Row],[Credit]]&gt;0,"Income","Expense")</f>
        <v>Expense</v>
      </c>
      <c r="H6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8" s="3">
        <f>Account_Data[[#This Row],[Credit]]-Account_Data[[#This Row],[Debit]]</f>
        <v>-4000</v>
      </c>
      <c r="J698" s="7">
        <f>EOMONTH(Account_Data[[#This Row],[Date]],0)</f>
        <v>46112</v>
      </c>
      <c r="K698">
        <f>ABS(Account_Data[[#This Row],[Amount]])</f>
        <v>4000</v>
      </c>
    </row>
    <row r="699" spans="1:11" x14ac:dyDescent="0.35">
      <c r="A699" s="73">
        <v>46088</v>
      </c>
      <c r="B699" t="s">
        <v>145</v>
      </c>
      <c r="C699" s="3">
        <v>2000</v>
      </c>
      <c r="E699" s="3">
        <v>508862.15</v>
      </c>
      <c r="F699" t="str">
        <f>TEXT(Account_Data[[#This Row],[Date]],"mmm-yyyy")</f>
        <v>Mar-2026</v>
      </c>
      <c r="G699" t="str">
        <f>IF(Account_Data[[#This Row],[Credit]]&gt;0,"Income","Expense")</f>
        <v>Expense</v>
      </c>
      <c r="H6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699" s="3">
        <f>Account_Data[[#This Row],[Credit]]-Account_Data[[#This Row],[Debit]]</f>
        <v>-2000</v>
      </c>
      <c r="J699" s="7">
        <f>EOMONTH(Account_Data[[#This Row],[Date]],0)</f>
        <v>46112</v>
      </c>
      <c r="K699">
        <f>ABS(Account_Data[[#This Row],[Amount]])</f>
        <v>2000</v>
      </c>
    </row>
    <row r="700" spans="1:11" x14ac:dyDescent="0.35">
      <c r="A700" s="73">
        <v>46088</v>
      </c>
      <c r="B700" t="s">
        <v>198</v>
      </c>
      <c r="C700" s="3">
        <v>424</v>
      </c>
      <c r="E700" s="3">
        <v>508438.15</v>
      </c>
      <c r="F700" t="str">
        <f>TEXT(Account_Data[[#This Row],[Date]],"mmm-yyyy")</f>
        <v>Mar-2026</v>
      </c>
      <c r="G700" t="str">
        <f>IF(Account_Data[[#This Row],[Credit]]&gt;0,"Income","Expense")</f>
        <v>Expense</v>
      </c>
      <c r="H7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0" s="3">
        <f>Account_Data[[#This Row],[Credit]]-Account_Data[[#This Row],[Debit]]</f>
        <v>-424</v>
      </c>
      <c r="J700" s="7">
        <f>EOMONTH(Account_Data[[#This Row],[Date]],0)</f>
        <v>46112</v>
      </c>
      <c r="K700">
        <f>ABS(Account_Data[[#This Row],[Amount]])</f>
        <v>424</v>
      </c>
    </row>
    <row r="701" spans="1:11" x14ac:dyDescent="0.35">
      <c r="A701" s="73">
        <v>46088</v>
      </c>
      <c r="B701" t="s">
        <v>145</v>
      </c>
      <c r="C701" s="3">
        <v>10000</v>
      </c>
      <c r="E701" s="3">
        <v>498438.15</v>
      </c>
      <c r="F701" t="str">
        <f>TEXT(Account_Data[[#This Row],[Date]],"mmm-yyyy")</f>
        <v>Mar-2026</v>
      </c>
      <c r="G701" t="str">
        <f>IF(Account_Data[[#This Row],[Credit]]&gt;0,"Income","Expense")</f>
        <v>Expense</v>
      </c>
      <c r="H7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1" s="3">
        <f>Account_Data[[#This Row],[Credit]]-Account_Data[[#This Row],[Debit]]</f>
        <v>-10000</v>
      </c>
      <c r="J701" s="7">
        <f>EOMONTH(Account_Data[[#This Row],[Date]],0)</f>
        <v>46112</v>
      </c>
      <c r="K701">
        <f>ABS(Account_Data[[#This Row],[Amount]])</f>
        <v>10000</v>
      </c>
    </row>
    <row r="702" spans="1:11" x14ac:dyDescent="0.35">
      <c r="A702" s="73">
        <v>46088</v>
      </c>
      <c r="B702" t="s">
        <v>177</v>
      </c>
      <c r="C702" s="3">
        <v>4000</v>
      </c>
      <c r="E702" s="3">
        <v>494438.15</v>
      </c>
      <c r="F702" t="str">
        <f>TEXT(Account_Data[[#This Row],[Date]],"mmm-yyyy")</f>
        <v>Mar-2026</v>
      </c>
      <c r="G702" t="str">
        <f>IF(Account_Data[[#This Row],[Credit]]&gt;0,"Income","Expense")</f>
        <v>Expense</v>
      </c>
      <c r="H7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2" s="3">
        <f>Account_Data[[#This Row],[Credit]]-Account_Data[[#This Row],[Debit]]</f>
        <v>-4000</v>
      </c>
      <c r="J702" s="7">
        <f>EOMONTH(Account_Data[[#This Row],[Date]],0)</f>
        <v>46112</v>
      </c>
      <c r="K702">
        <f>ABS(Account_Data[[#This Row],[Amount]])</f>
        <v>4000</v>
      </c>
    </row>
    <row r="703" spans="1:11" x14ac:dyDescent="0.35">
      <c r="A703" s="73">
        <v>46089</v>
      </c>
      <c r="B703" t="s">
        <v>373</v>
      </c>
      <c r="C703" s="3">
        <v>371.8</v>
      </c>
      <c r="E703" s="3">
        <v>494066.35</v>
      </c>
      <c r="F703" t="str">
        <f>TEXT(Account_Data[[#This Row],[Date]],"mmm-yyyy")</f>
        <v>Mar-2026</v>
      </c>
      <c r="G703" t="str">
        <f>IF(Account_Data[[#This Row],[Credit]]&gt;0,"Income","Expense")</f>
        <v>Expense</v>
      </c>
      <c r="H7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3" s="3">
        <f>Account_Data[[#This Row],[Credit]]-Account_Data[[#This Row],[Debit]]</f>
        <v>-371.8</v>
      </c>
      <c r="J703" s="7">
        <f>EOMONTH(Account_Data[[#This Row],[Date]],0)</f>
        <v>46112</v>
      </c>
      <c r="K703">
        <f>ABS(Account_Data[[#This Row],[Amount]])</f>
        <v>371.8</v>
      </c>
    </row>
    <row r="704" spans="1:11" x14ac:dyDescent="0.35">
      <c r="A704" s="73">
        <v>46089</v>
      </c>
      <c r="B704" t="s">
        <v>374</v>
      </c>
      <c r="C704" s="3">
        <v>863</v>
      </c>
      <c r="E704" s="3">
        <v>493203.35</v>
      </c>
      <c r="F704" t="str">
        <f>TEXT(Account_Data[[#This Row],[Date]],"mmm-yyyy")</f>
        <v>Mar-2026</v>
      </c>
      <c r="G704" t="str">
        <f>IF(Account_Data[[#This Row],[Credit]]&gt;0,"Income","Expense")</f>
        <v>Expense</v>
      </c>
      <c r="H7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4" s="3">
        <f>Account_Data[[#This Row],[Credit]]-Account_Data[[#This Row],[Debit]]</f>
        <v>-863</v>
      </c>
      <c r="J704" s="7">
        <f>EOMONTH(Account_Data[[#This Row],[Date]],0)</f>
        <v>46112</v>
      </c>
      <c r="K704">
        <f>ABS(Account_Data[[#This Row],[Amount]])</f>
        <v>863</v>
      </c>
    </row>
    <row r="705" spans="1:11" x14ac:dyDescent="0.35">
      <c r="A705" s="73">
        <v>46090</v>
      </c>
      <c r="B705" t="s">
        <v>375</v>
      </c>
      <c r="C705" s="3">
        <v>700</v>
      </c>
      <c r="E705" s="3">
        <v>492503.35</v>
      </c>
      <c r="F705" t="str">
        <f>TEXT(Account_Data[[#This Row],[Date]],"mmm-yyyy")</f>
        <v>Mar-2026</v>
      </c>
      <c r="G705" t="str">
        <f>IF(Account_Data[[#This Row],[Credit]]&gt;0,"Income","Expense")</f>
        <v>Expense</v>
      </c>
      <c r="H7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5" s="3">
        <f>Account_Data[[#This Row],[Credit]]-Account_Data[[#This Row],[Debit]]</f>
        <v>-700</v>
      </c>
      <c r="J705" s="7">
        <f>EOMONTH(Account_Data[[#This Row],[Date]],0)</f>
        <v>46112</v>
      </c>
      <c r="K705">
        <f>ABS(Account_Data[[#This Row],[Amount]])</f>
        <v>700</v>
      </c>
    </row>
    <row r="706" spans="1:11" x14ac:dyDescent="0.35">
      <c r="A706" s="73">
        <v>46090</v>
      </c>
      <c r="B706" t="s">
        <v>234</v>
      </c>
      <c r="C706" s="3">
        <v>199</v>
      </c>
      <c r="E706" s="3">
        <v>492304.35</v>
      </c>
      <c r="F706" t="str">
        <f>TEXT(Account_Data[[#This Row],[Date]],"mmm-yyyy")</f>
        <v>Mar-2026</v>
      </c>
      <c r="G706" t="str">
        <f>IF(Account_Data[[#This Row],[Credit]]&gt;0,"Income","Expense")</f>
        <v>Expense</v>
      </c>
      <c r="H7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6" s="3">
        <f>Account_Data[[#This Row],[Credit]]-Account_Data[[#This Row],[Debit]]</f>
        <v>-199</v>
      </c>
      <c r="J706" s="7">
        <f>EOMONTH(Account_Data[[#This Row],[Date]],0)</f>
        <v>46112</v>
      </c>
      <c r="K706">
        <f>ABS(Account_Data[[#This Row],[Amount]])</f>
        <v>199</v>
      </c>
    </row>
    <row r="707" spans="1:11" x14ac:dyDescent="0.35">
      <c r="A707" s="73">
        <v>46090</v>
      </c>
      <c r="B707" t="s">
        <v>376</v>
      </c>
      <c r="C707" s="3">
        <v>130</v>
      </c>
      <c r="E707" s="3">
        <v>492174.35</v>
      </c>
      <c r="F707" t="str">
        <f>TEXT(Account_Data[[#This Row],[Date]],"mmm-yyyy")</f>
        <v>Mar-2026</v>
      </c>
      <c r="G707" t="str">
        <f>IF(Account_Data[[#This Row],[Credit]]&gt;0,"Income","Expense")</f>
        <v>Expense</v>
      </c>
      <c r="H7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7" s="3">
        <f>Account_Data[[#This Row],[Credit]]-Account_Data[[#This Row],[Debit]]</f>
        <v>-130</v>
      </c>
      <c r="J707" s="7">
        <f>EOMONTH(Account_Data[[#This Row],[Date]],0)</f>
        <v>46112</v>
      </c>
      <c r="K707">
        <f>ABS(Account_Data[[#This Row],[Amount]])</f>
        <v>130</v>
      </c>
    </row>
    <row r="708" spans="1:11" x14ac:dyDescent="0.35">
      <c r="A708" s="73">
        <v>46090</v>
      </c>
      <c r="B708" t="s">
        <v>377</v>
      </c>
      <c r="C708" s="3">
        <v>31000</v>
      </c>
      <c r="E708" s="3">
        <v>461174.35</v>
      </c>
      <c r="F708" t="str">
        <f>TEXT(Account_Data[[#This Row],[Date]],"mmm-yyyy")</f>
        <v>Mar-2026</v>
      </c>
      <c r="G708" t="str">
        <f>IF(Account_Data[[#This Row],[Credit]]&gt;0,"Income","Expense")</f>
        <v>Expense</v>
      </c>
      <c r="H7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8" s="3">
        <f>Account_Data[[#This Row],[Credit]]-Account_Data[[#This Row],[Debit]]</f>
        <v>-31000</v>
      </c>
      <c r="J708" s="7">
        <f>EOMONTH(Account_Data[[#This Row],[Date]],0)</f>
        <v>46112</v>
      </c>
      <c r="K708">
        <f>ABS(Account_Data[[#This Row],[Amount]])</f>
        <v>31000</v>
      </c>
    </row>
    <row r="709" spans="1:11" x14ac:dyDescent="0.35">
      <c r="A709" s="73">
        <v>46090</v>
      </c>
      <c r="B709" t="s">
        <v>319</v>
      </c>
      <c r="C709" s="3">
        <v>24600</v>
      </c>
      <c r="E709" s="3">
        <v>436574.35</v>
      </c>
      <c r="F709" t="str">
        <f>TEXT(Account_Data[[#This Row],[Date]],"mmm-yyyy")</f>
        <v>Mar-2026</v>
      </c>
      <c r="G709" t="str">
        <f>IF(Account_Data[[#This Row],[Credit]]&gt;0,"Income","Expense")</f>
        <v>Expense</v>
      </c>
      <c r="H7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09" s="3">
        <f>Account_Data[[#This Row],[Credit]]-Account_Data[[#This Row],[Debit]]</f>
        <v>-24600</v>
      </c>
      <c r="J709" s="7">
        <f>EOMONTH(Account_Data[[#This Row],[Date]],0)</f>
        <v>46112</v>
      </c>
      <c r="K709">
        <f>ABS(Account_Data[[#This Row],[Amount]])</f>
        <v>24600</v>
      </c>
    </row>
    <row r="710" spans="1:11" x14ac:dyDescent="0.35">
      <c r="A710" s="73">
        <v>46090</v>
      </c>
      <c r="B710" t="s">
        <v>338</v>
      </c>
      <c r="C710" s="3">
        <v>15</v>
      </c>
      <c r="E710" s="3">
        <v>436559.35</v>
      </c>
      <c r="F710" t="str">
        <f>TEXT(Account_Data[[#This Row],[Date]],"mmm-yyyy")</f>
        <v>Mar-2026</v>
      </c>
      <c r="G710" t="str">
        <f>IF(Account_Data[[#This Row],[Credit]]&gt;0,"Income","Expense")</f>
        <v>Expense</v>
      </c>
      <c r="H7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0" s="3">
        <f>Account_Data[[#This Row],[Credit]]-Account_Data[[#This Row],[Debit]]</f>
        <v>-15</v>
      </c>
      <c r="J710" s="7">
        <f>EOMONTH(Account_Data[[#This Row],[Date]],0)</f>
        <v>46112</v>
      </c>
      <c r="K710">
        <f>ABS(Account_Data[[#This Row],[Amount]])</f>
        <v>15</v>
      </c>
    </row>
    <row r="711" spans="1:11" x14ac:dyDescent="0.35">
      <c r="A711" s="73">
        <v>46090</v>
      </c>
      <c r="B711" t="s">
        <v>242</v>
      </c>
      <c r="C711" s="3">
        <v>300</v>
      </c>
      <c r="E711" s="3">
        <v>436259.35</v>
      </c>
      <c r="F711" t="str">
        <f>TEXT(Account_Data[[#This Row],[Date]],"mmm-yyyy")</f>
        <v>Mar-2026</v>
      </c>
      <c r="G711" t="str">
        <f>IF(Account_Data[[#This Row],[Credit]]&gt;0,"Income","Expense")</f>
        <v>Expense</v>
      </c>
      <c r="H7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1" s="3">
        <f>Account_Data[[#This Row],[Credit]]-Account_Data[[#This Row],[Debit]]</f>
        <v>-300</v>
      </c>
      <c r="J711" s="7">
        <f>EOMONTH(Account_Data[[#This Row],[Date]],0)</f>
        <v>46112</v>
      </c>
      <c r="K711">
        <f>ABS(Account_Data[[#This Row],[Amount]])</f>
        <v>300</v>
      </c>
    </row>
    <row r="712" spans="1:11" x14ac:dyDescent="0.35">
      <c r="A712" s="73">
        <v>46090</v>
      </c>
      <c r="B712" t="s">
        <v>378</v>
      </c>
      <c r="C712" s="3">
        <v>1000</v>
      </c>
      <c r="E712" s="3">
        <v>435259.35</v>
      </c>
      <c r="F712" t="str">
        <f>TEXT(Account_Data[[#This Row],[Date]],"mmm-yyyy")</f>
        <v>Mar-2026</v>
      </c>
      <c r="G712" t="str">
        <f>IF(Account_Data[[#This Row],[Credit]]&gt;0,"Income","Expense")</f>
        <v>Expense</v>
      </c>
      <c r="H7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2" s="3">
        <f>Account_Data[[#This Row],[Credit]]-Account_Data[[#This Row],[Debit]]</f>
        <v>-1000</v>
      </c>
      <c r="J712" s="7">
        <f>EOMONTH(Account_Data[[#This Row],[Date]],0)</f>
        <v>46112</v>
      </c>
      <c r="K712">
        <f>ABS(Account_Data[[#This Row],[Amount]])</f>
        <v>1000</v>
      </c>
    </row>
    <row r="713" spans="1:11" x14ac:dyDescent="0.35">
      <c r="A713" s="73">
        <v>46091</v>
      </c>
      <c r="B713" t="s">
        <v>338</v>
      </c>
      <c r="C713" s="3">
        <v>15</v>
      </c>
      <c r="E713" s="3">
        <v>435244.35</v>
      </c>
      <c r="F713" t="str">
        <f>TEXT(Account_Data[[#This Row],[Date]],"mmm-yyyy")</f>
        <v>Mar-2026</v>
      </c>
      <c r="G713" t="str">
        <f>IF(Account_Data[[#This Row],[Credit]]&gt;0,"Income","Expense")</f>
        <v>Expense</v>
      </c>
      <c r="H7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3" s="3">
        <f>Account_Data[[#This Row],[Credit]]-Account_Data[[#This Row],[Debit]]</f>
        <v>-15</v>
      </c>
      <c r="J713" s="7">
        <f>EOMONTH(Account_Data[[#This Row],[Date]],0)</f>
        <v>46112</v>
      </c>
      <c r="K713">
        <f>ABS(Account_Data[[#This Row],[Amount]])</f>
        <v>15</v>
      </c>
    </row>
    <row r="714" spans="1:11" x14ac:dyDescent="0.35">
      <c r="A714" s="73">
        <v>46092</v>
      </c>
      <c r="B714" t="s">
        <v>379</v>
      </c>
      <c r="C714" s="3">
        <v>5577</v>
      </c>
      <c r="E714" s="3">
        <v>429667.35</v>
      </c>
      <c r="F714" t="str">
        <f>TEXT(Account_Data[[#This Row],[Date]],"mmm-yyyy")</f>
        <v>Mar-2026</v>
      </c>
      <c r="G714" t="str">
        <f>IF(Account_Data[[#This Row],[Credit]]&gt;0,"Income","Expense")</f>
        <v>Expense</v>
      </c>
      <c r="H7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4" s="3">
        <f>Account_Data[[#This Row],[Credit]]-Account_Data[[#This Row],[Debit]]</f>
        <v>-5577</v>
      </c>
      <c r="J714" s="7">
        <f>EOMONTH(Account_Data[[#This Row],[Date]],0)</f>
        <v>46112</v>
      </c>
      <c r="K714">
        <f>ABS(Account_Data[[#This Row],[Amount]])</f>
        <v>5577</v>
      </c>
    </row>
    <row r="715" spans="1:11" x14ac:dyDescent="0.35">
      <c r="A715" s="73">
        <v>46092</v>
      </c>
      <c r="B715" t="s">
        <v>380</v>
      </c>
      <c r="C715" s="3">
        <v>400</v>
      </c>
      <c r="E715" s="3">
        <v>429267.35</v>
      </c>
      <c r="F715" t="str">
        <f>TEXT(Account_Data[[#This Row],[Date]],"mmm-yyyy")</f>
        <v>Mar-2026</v>
      </c>
      <c r="G715" t="str">
        <f>IF(Account_Data[[#This Row],[Credit]]&gt;0,"Income","Expense")</f>
        <v>Expense</v>
      </c>
      <c r="H7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5" s="3">
        <f>Account_Data[[#This Row],[Credit]]-Account_Data[[#This Row],[Debit]]</f>
        <v>-400</v>
      </c>
      <c r="J715" s="7">
        <f>EOMONTH(Account_Data[[#This Row],[Date]],0)</f>
        <v>46112</v>
      </c>
      <c r="K715">
        <f>ABS(Account_Data[[#This Row],[Amount]])</f>
        <v>400</v>
      </c>
    </row>
    <row r="716" spans="1:11" x14ac:dyDescent="0.35">
      <c r="A716" s="73">
        <v>46092</v>
      </c>
      <c r="B716" t="s">
        <v>338</v>
      </c>
      <c r="C716" s="3">
        <v>15</v>
      </c>
      <c r="E716" s="3">
        <v>429252.35</v>
      </c>
      <c r="F716" t="str">
        <f>TEXT(Account_Data[[#This Row],[Date]],"mmm-yyyy")</f>
        <v>Mar-2026</v>
      </c>
      <c r="G716" t="str">
        <f>IF(Account_Data[[#This Row],[Credit]]&gt;0,"Income","Expense")</f>
        <v>Expense</v>
      </c>
      <c r="H7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6" s="3">
        <f>Account_Data[[#This Row],[Credit]]-Account_Data[[#This Row],[Debit]]</f>
        <v>-15</v>
      </c>
      <c r="J716" s="7">
        <f>EOMONTH(Account_Data[[#This Row],[Date]],0)</f>
        <v>46112</v>
      </c>
      <c r="K716">
        <f>ABS(Account_Data[[#This Row],[Amount]])</f>
        <v>15</v>
      </c>
    </row>
    <row r="717" spans="1:11" x14ac:dyDescent="0.35">
      <c r="A717" s="73">
        <v>46092</v>
      </c>
      <c r="B717" t="s">
        <v>381</v>
      </c>
      <c r="C717" s="3">
        <v>33000</v>
      </c>
      <c r="E717" s="3">
        <v>396252.35</v>
      </c>
      <c r="F717" t="str">
        <f>TEXT(Account_Data[[#This Row],[Date]],"mmm-yyyy")</f>
        <v>Mar-2026</v>
      </c>
      <c r="G717" t="str">
        <f>IF(Account_Data[[#This Row],[Credit]]&gt;0,"Income","Expense")</f>
        <v>Expense</v>
      </c>
      <c r="H7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7" s="3">
        <f>Account_Data[[#This Row],[Credit]]-Account_Data[[#This Row],[Debit]]</f>
        <v>-33000</v>
      </c>
      <c r="J717" s="7">
        <f>EOMONTH(Account_Data[[#This Row],[Date]],0)</f>
        <v>46112</v>
      </c>
      <c r="K717">
        <f>ABS(Account_Data[[#This Row],[Amount]])</f>
        <v>33000</v>
      </c>
    </row>
    <row r="718" spans="1:11" x14ac:dyDescent="0.35">
      <c r="A718" s="73">
        <v>46092</v>
      </c>
      <c r="B718" t="s">
        <v>354</v>
      </c>
      <c r="C718" s="3">
        <v>1200</v>
      </c>
      <c r="E718" s="3">
        <v>395052.35</v>
      </c>
      <c r="F718" t="str">
        <f>TEXT(Account_Data[[#This Row],[Date]],"mmm-yyyy")</f>
        <v>Mar-2026</v>
      </c>
      <c r="G718" t="str">
        <f>IF(Account_Data[[#This Row],[Credit]]&gt;0,"Income","Expense")</f>
        <v>Expense</v>
      </c>
      <c r="H7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8" s="3">
        <f>Account_Data[[#This Row],[Credit]]-Account_Data[[#This Row],[Debit]]</f>
        <v>-1200</v>
      </c>
      <c r="J718" s="7">
        <f>EOMONTH(Account_Data[[#This Row],[Date]],0)</f>
        <v>46112</v>
      </c>
      <c r="K718">
        <f>ABS(Account_Data[[#This Row],[Amount]])</f>
        <v>1200</v>
      </c>
    </row>
    <row r="719" spans="1:11" x14ac:dyDescent="0.35">
      <c r="A719" s="73">
        <v>46092</v>
      </c>
      <c r="B719" t="s">
        <v>367</v>
      </c>
      <c r="C719" s="3">
        <v>25000</v>
      </c>
      <c r="E719" s="3">
        <v>370052.35</v>
      </c>
      <c r="F719" t="str">
        <f>TEXT(Account_Data[[#This Row],[Date]],"mmm-yyyy")</f>
        <v>Mar-2026</v>
      </c>
      <c r="G719" t="str">
        <f>IF(Account_Data[[#This Row],[Credit]]&gt;0,"Income","Expense")</f>
        <v>Expense</v>
      </c>
      <c r="H7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19" s="3">
        <f>Account_Data[[#This Row],[Credit]]-Account_Data[[#This Row],[Debit]]</f>
        <v>-25000</v>
      </c>
      <c r="J719" s="7">
        <f>EOMONTH(Account_Data[[#This Row],[Date]],0)</f>
        <v>46112</v>
      </c>
      <c r="K719">
        <f>ABS(Account_Data[[#This Row],[Amount]])</f>
        <v>25000</v>
      </c>
    </row>
    <row r="720" spans="1:11" x14ac:dyDescent="0.35">
      <c r="A720" s="73">
        <v>46092</v>
      </c>
      <c r="B720" t="s">
        <v>338</v>
      </c>
      <c r="C720" s="3">
        <v>15</v>
      </c>
      <c r="E720" s="3">
        <v>370037.35</v>
      </c>
      <c r="F720" t="str">
        <f>TEXT(Account_Data[[#This Row],[Date]],"mmm-yyyy")</f>
        <v>Mar-2026</v>
      </c>
      <c r="G720" t="str">
        <f>IF(Account_Data[[#This Row],[Credit]]&gt;0,"Income","Expense")</f>
        <v>Expense</v>
      </c>
      <c r="H7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0" s="3">
        <f>Account_Data[[#This Row],[Credit]]-Account_Data[[#This Row],[Debit]]</f>
        <v>-15</v>
      </c>
      <c r="J720" s="7">
        <f>EOMONTH(Account_Data[[#This Row],[Date]],0)</f>
        <v>46112</v>
      </c>
      <c r="K720">
        <f>ABS(Account_Data[[#This Row],[Amount]])</f>
        <v>15</v>
      </c>
    </row>
    <row r="721" spans="1:11" x14ac:dyDescent="0.35">
      <c r="A721" s="73">
        <v>46093</v>
      </c>
      <c r="B721" t="s">
        <v>137</v>
      </c>
      <c r="D721" s="3">
        <v>1697</v>
      </c>
      <c r="E721" s="3">
        <v>371734.35</v>
      </c>
      <c r="F721" t="str">
        <f>TEXT(Account_Data[[#This Row],[Date]],"mmm-yyyy")</f>
        <v>Mar-2026</v>
      </c>
      <c r="G721" t="str">
        <f>IF(Account_Data[[#This Row],[Credit]]&gt;0,"Income","Expense")</f>
        <v>Income</v>
      </c>
      <c r="H7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1" s="3">
        <f>Account_Data[[#This Row],[Credit]]-Account_Data[[#This Row],[Debit]]</f>
        <v>1697</v>
      </c>
      <c r="J721" s="7">
        <f>EOMONTH(Account_Data[[#This Row],[Date]],0)</f>
        <v>46112</v>
      </c>
      <c r="K721">
        <f>ABS(Account_Data[[#This Row],[Amount]])</f>
        <v>1697</v>
      </c>
    </row>
    <row r="722" spans="1:11" x14ac:dyDescent="0.35">
      <c r="A722" s="73">
        <v>46093</v>
      </c>
      <c r="B722" t="s">
        <v>382</v>
      </c>
      <c r="C722" s="3">
        <v>737</v>
      </c>
      <c r="E722" s="3">
        <v>370997.35</v>
      </c>
      <c r="F722" t="str">
        <f>TEXT(Account_Data[[#This Row],[Date]],"mmm-yyyy")</f>
        <v>Mar-2026</v>
      </c>
      <c r="G722" t="str">
        <f>IF(Account_Data[[#This Row],[Credit]]&gt;0,"Income","Expense")</f>
        <v>Expense</v>
      </c>
      <c r="H7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2" s="3">
        <f>Account_Data[[#This Row],[Credit]]-Account_Data[[#This Row],[Debit]]</f>
        <v>-737</v>
      </c>
      <c r="J722" s="7">
        <f>EOMONTH(Account_Data[[#This Row],[Date]],0)</f>
        <v>46112</v>
      </c>
      <c r="K722">
        <f>ABS(Account_Data[[#This Row],[Amount]])</f>
        <v>737</v>
      </c>
    </row>
    <row r="723" spans="1:11" x14ac:dyDescent="0.35">
      <c r="A723" s="73">
        <v>46093</v>
      </c>
      <c r="B723" t="s">
        <v>383</v>
      </c>
      <c r="C723" s="3">
        <v>37934</v>
      </c>
      <c r="E723" s="3">
        <v>333063.34999999998</v>
      </c>
      <c r="F723" t="str">
        <f>TEXT(Account_Data[[#This Row],[Date]],"mmm-yyyy")</f>
        <v>Mar-2026</v>
      </c>
      <c r="G723" t="str">
        <f>IF(Account_Data[[#This Row],[Credit]]&gt;0,"Income","Expense")</f>
        <v>Expense</v>
      </c>
      <c r="H7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3" s="3">
        <f>Account_Data[[#This Row],[Credit]]-Account_Data[[#This Row],[Debit]]</f>
        <v>-37934</v>
      </c>
      <c r="J723" s="7">
        <f>EOMONTH(Account_Data[[#This Row],[Date]],0)</f>
        <v>46112</v>
      </c>
      <c r="K723">
        <f>ABS(Account_Data[[#This Row],[Amount]])</f>
        <v>37934</v>
      </c>
    </row>
    <row r="724" spans="1:11" x14ac:dyDescent="0.35">
      <c r="A724" s="73">
        <v>46094</v>
      </c>
      <c r="B724" t="s">
        <v>384</v>
      </c>
      <c r="C724" s="3">
        <v>29113</v>
      </c>
      <c r="E724" s="3">
        <v>303950.34999999998</v>
      </c>
      <c r="F724" t="str">
        <f>TEXT(Account_Data[[#This Row],[Date]],"mmm-yyyy")</f>
        <v>Mar-2026</v>
      </c>
      <c r="G724" t="str">
        <f>IF(Account_Data[[#This Row],[Credit]]&gt;0,"Income","Expense")</f>
        <v>Expense</v>
      </c>
      <c r="H7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4" s="3">
        <f>Account_Data[[#This Row],[Credit]]-Account_Data[[#This Row],[Debit]]</f>
        <v>-29113</v>
      </c>
      <c r="J724" s="7">
        <f>EOMONTH(Account_Data[[#This Row],[Date]],0)</f>
        <v>46112</v>
      </c>
      <c r="K724">
        <f>ABS(Account_Data[[#This Row],[Amount]])</f>
        <v>29113</v>
      </c>
    </row>
    <row r="725" spans="1:11" x14ac:dyDescent="0.35">
      <c r="A725" s="73">
        <v>46094</v>
      </c>
      <c r="B725" t="s">
        <v>384</v>
      </c>
      <c r="C725" s="3">
        <v>580</v>
      </c>
      <c r="E725" s="3">
        <v>303370.34999999998</v>
      </c>
      <c r="F725" t="str">
        <f>TEXT(Account_Data[[#This Row],[Date]],"mmm-yyyy")</f>
        <v>Mar-2026</v>
      </c>
      <c r="G725" t="str">
        <f>IF(Account_Data[[#This Row],[Credit]]&gt;0,"Income","Expense")</f>
        <v>Expense</v>
      </c>
      <c r="H7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5" s="3">
        <f>Account_Data[[#This Row],[Credit]]-Account_Data[[#This Row],[Debit]]</f>
        <v>-580</v>
      </c>
      <c r="J725" s="7">
        <f>EOMONTH(Account_Data[[#This Row],[Date]],0)</f>
        <v>46112</v>
      </c>
      <c r="K725">
        <f>ABS(Account_Data[[#This Row],[Amount]])</f>
        <v>580</v>
      </c>
    </row>
    <row r="726" spans="1:11" x14ac:dyDescent="0.35">
      <c r="A726" s="73">
        <v>46094</v>
      </c>
      <c r="B726" t="s">
        <v>317</v>
      </c>
      <c r="C726" s="3">
        <v>380</v>
      </c>
      <c r="E726" s="3">
        <v>302990.34999999998</v>
      </c>
      <c r="F726" t="str">
        <f>TEXT(Account_Data[[#This Row],[Date]],"mmm-yyyy")</f>
        <v>Mar-2026</v>
      </c>
      <c r="G726" t="str">
        <f>IF(Account_Data[[#This Row],[Credit]]&gt;0,"Income","Expense")</f>
        <v>Expense</v>
      </c>
      <c r="H7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6" s="3">
        <f>Account_Data[[#This Row],[Credit]]-Account_Data[[#This Row],[Debit]]</f>
        <v>-380</v>
      </c>
      <c r="J726" s="7">
        <f>EOMONTH(Account_Data[[#This Row],[Date]],0)</f>
        <v>46112</v>
      </c>
      <c r="K726">
        <f>ABS(Account_Data[[#This Row],[Amount]])</f>
        <v>380</v>
      </c>
    </row>
    <row r="727" spans="1:11" x14ac:dyDescent="0.35">
      <c r="A727" s="73">
        <v>46094</v>
      </c>
      <c r="B727" t="s">
        <v>338</v>
      </c>
      <c r="C727" s="3">
        <v>17</v>
      </c>
      <c r="E727" s="3">
        <v>302973.34999999998</v>
      </c>
      <c r="F727" t="str">
        <f>TEXT(Account_Data[[#This Row],[Date]],"mmm-yyyy")</f>
        <v>Mar-2026</v>
      </c>
      <c r="G727" t="str">
        <f>IF(Account_Data[[#This Row],[Credit]]&gt;0,"Income","Expense")</f>
        <v>Expense</v>
      </c>
      <c r="H7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7" s="3">
        <f>Account_Data[[#This Row],[Credit]]-Account_Data[[#This Row],[Debit]]</f>
        <v>-17</v>
      </c>
      <c r="J727" s="7">
        <f>EOMONTH(Account_Data[[#This Row],[Date]],0)</f>
        <v>46112</v>
      </c>
      <c r="K727">
        <f>ABS(Account_Data[[#This Row],[Amount]])</f>
        <v>17</v>
      </c>
    </row>
    <row r="728" spans="1:11" x14ac:dyDescent="0.35">
      <c r="A728" s="73">
        <v>46094</v>
      </c>
      <c r="B728" t="s">
        <v>242</v>
      </c>
      <c r="C728" s="3">
        <v>350</v>
      </c>
      <c r="E728" s="3">
        <v>302623.34999999998</v>
      </c>
      <c r="F728" t="str">
        <f>TEXT(Account_Data[[#This Row],[Date]],"mmm-yyyy")</f>
        <v>Mar-2026</v>
      </c>
      <c r="G728" t="str">
        <f>IF(Account_Data[[#This Row],[Credit]]&gt;0,"Income","Expense")</f>
        <v>Expense</v>
      </c>
      <c r="H7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8" s="3">
        <f>Account_Data[[#This Row],[Credit]]-Account_Data[[#This Row],[Debit]]</f>
        <v>-350</v>
      </c>
      <c r="J728" s="7">
        <f>EOMONTH(Account_Data[[#This Row],[Date]],0)</f>
        <v>46112</v>
      </c>
      <c r="K728">
        <f>ABS(Account_Data[[#This Row],[Amount]])</f>
        <v>350</v>
      </c>
    </row>
    <row r="729" spans="1:11" x14ac:dyDescent="0.35">
      <c r="A729" s="73">
        <v>46094</v>
      </c>
      <c r="B729" t="s">
        <v>385</v>
      </c>
      <c r="C729" s="3">
        <v>480</v>
      </c>
      <c r="E729" s="3">
        <v>302143.34999999998</v>
      </c>
      <c r="F729" t="str">
        <f>TEXT(Account_Data[[#This Row],[Date]],"mmm-yyyy")</f>
        <v>Mar-2026</v>
      </c>
      <c r="G729" t="str">
        <f>IF(Account_Data[[#This Row],[Credit]]&gt;0,"Income","Expense")</f>
        <v>Expense</v>
      </c>
      <c r="H7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29" s="3">
        <f>Account_Data[[#This Row],[Credit]]-Account_Data[[#This Row],[Debit]]</f>
        <v>-480</v>
      </c>
      <c r="J729" s="7">
        <f>EOMONTH(Account_Data[[#This Row],[Date]],0)</f>
        <v>46112</v>
      </c>
      <c r="K729">
        <f>ABS(Account_Data[[#This Row],[Amount]])</f>
        <v>480</v>
      </c>
    </row>
    <row r="730" spans="1:11" x14ac:dyDescent="0.35">
      <c r="A730" s="73">
        <v>46095</v>
      </c>
      <c r="B730" t="s">
        <v>338</v>
      </c>
      <c r="C730" s="3">
        <v>15</v>
      </c>
      <c r="E730" s="3">
        <v>302128.34999999998</v>
      </c>
      <c r="F730" t="str">
        <f>TEXT(Account_Data[[#This Row],[Date]],"mmm-yyyy")</f>
        <v>Mar-2026</v>
      </c>
      <c r="G730" t="str">
        <f>IF(Account_Data[[#This Row],[Credit]]&gt;0,"Income","Expense")</f>
        <v>Expense</v>
      </c>
      <c r="H7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0" s="3">
        <f>Account_Data[[#This Row],[Credit]]-Account_Data[[#This Row],[Debit]]</f>
        <v>-15</v>
      </c>
      <c r="J730" s="7">
        <f>EOMONTH(Account_Data[[#This Row],[Date]],0)</f>
        <v>46112</v>
      </c>
      <c r="K730">
        <f>ABS(Account_Data[[#This Row],[Amount]])</f>
        <v>15</v>
      </c>
    </row>
    <row r="731" spans="1:11" x14ac:dyDescent="0.35">
      <c r="A731" s="73">
        <v>46096</v>
      </c>
      <c r="B731" t="s">
        <v>374</v>
      </c>
      <c r="C731" s="3">
        <v>1565</v>
      </c>
      <c r="E731" s="3">
        <v>300563.34999999998</v>
      </c>
      <c r="F731" t="str">
        <f>TEXT(Account_Data[[#This Row],[Date]],"mmm-yyyy")</f>
        <v>Mar-2026</v>
      </c>
      <c r="G731" t="str">
        <f>IF(Account_Data[[#This Row],[Credit]]&gt;0,"Income","Expense")</f>
        <v>Expense</v>
      </c>
      <c r="H7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1" s="3">
        <f>Account_Data[[#This Row],[Credit]]-Account_Data[[#This Row],[Debit]]</f>
        <v>-1565</v>
      </c>
      <c r="J731" s="7">
        <f>EOMONTH(Account_Data[[#This Row],[Date]],0)</f>
        <v>46112</v>
      </c>
      <c r="K731">
        <f>ABS(Account_Data[[#This Row],[Amount]])</f>
        <v>1565</v>
      </c>
    </row>
    <row r="732" spans="1:11" x14ac:dyDescent="0.35">
      <c r="A732" s="73">
        <v>46096</v>
      </c>
      <c r="B732" t="s">
        <v>357</v>
      </c>
      <c r="C732" s="3">
        <v>594</v>
      </c>
      <c r="E732" s="3">
        <v>299969.34999999998</v>
      </c>
      <c r="F732" t="str">
        <f>TEXT(Account_Data[[#This Row],[Date]],"mmm-yyyy")</f>
        <v>Mar-2026</v>
      </c>
      <c r="G732" t="str">
        <f>IF(Account_Data[[#This Row],[Credit]]&gt;0,"Income","Expense")</f>
        <v>Expense</v>
      </c>
      <c r="H7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2" s="3">
        <f>Account_Data[[#This Row],[Credit]]-Account_Data[[#This Row],[Debit]]</f>
        <v>-594</v>
      </c>
      <c r="J732" s="7">
        <f>EOMONTH(Account_Data[[#This Row],[Date]],0)</f>
        <v>46112</v>
      </c>
      <c r="K732">
        <f>ABS(Account_Data[[#This Row],[Amount]])</f>
        <v>594</v>
      </c>
    </row>
    <row r="733" spans="1:11" x14ac:dyDescent="0.35">
      <c r="A733" s="73">
        <v>46097</v>
      </c>
      <c r="B733" t="s">
        <v>320</v>
      </c>
      <c r="C733" s="3">
        <v>470</v>
      </c>
      <c r="E733" s="3">
        <v>299499.34999999998</v>
      </c>
      <c r="F733" t="str">
        <f>TEXT(Account_Data[[#This Row],[Date]],"mmm-yyyy")</f>
        <v>Mar-2026</v>
      </c>
      <c r="G733" t="str">
        <f>IF(Account_Data[[#This Row],[Credit]]&gt;0,"Income","Expense")</f>
        <v>Expense</v>
      </c>
      <c r="H7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3" s="3">
        <f>Account_Data[[#This Row],[Credit]]-Account_Data[[#This Row],[Debit]]</f>
        <v>-470</v>
      </c>
      <c r="J733" s="7">
        <f>EOMONTH(Account_Data[[#This Row],[Date]],0)</f>
        <v>46112</v>
      </c>
      <c r="K733">
        <f>ABS(Account_Data[[#This Row],[Amount]])</f>
        <v>470</v>
      </c>
    </row>
    <row r="734" spans="1:11" x14ac:dyDescent="0.35">
      <c r="A734" s="73">
        <v>46097</v>
      </c>
      <c r="B734" t="s">
        <v>338</v>
      </c>
      <c r="C734" s="3">
        <v>15</v>
      </c>
      <c r="E734" s="3">
        <v>299484.34999999998</v>
      </c>
      <c r="F734" t="str">
        <f>TEXT(Account_Data[[#This Row],[Date]],"mmm-yyyy")</f>
        <v>Mar-2026</v>
      </c>
      <c r="G734" t="str">
        <f>IF(Account_Data[[#This Row],[Credit]]&gt;0,"Income","Expense")</f>
        <v>Expense</v>
      </c>
      <c r="H7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4" s="3">
        <f>Account_Data[[#This Row],[Credit]]-Account_Data[[#This Row],[Debit]]</f>
        <v>-15</v>
      </c>
      <c r="J734" s="7">
        <f>EOMONTH(Account_Data[[#This Row],[Date]],0)</f>
        <v>46112</v>
      </c>
      <c r="K734">
        <f>ABS(Account_Data[[#This Row],[Amount]])</f>
        <v>15</v>
      </c>
    </row>
    <row r="735" spans="1:11" x14ac:dyDescent="0.35">
      <c r="A735" s="73">
        <v>46098</v>
      </c>
      <c r="B735" t="s">
        <v>386</v>
      </c>
      <c r="C735" s="3">
        <v>1000</v>
      </c>
      <c r="E735" s="3">
        <v>298484.34999999998</v>
      </c>
      <c r="F735" t="str">
        <f>TEXT(Account_Data[[#This Row],[Date]],"mmm-yyyy")</f>
        <v>Mar-2026</v>
      </c>
      <c r="G735" t="str">
        <f>IF(Account_Data[[#This Row],[Credit]]&gt;0,"Income","Expense")</f>
        <v>Expense</v>
      </c>
      <c r="H7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Transfer</v>
      </c>
      <c r="I735" s="3">
        <f>Account_Data[[#This Row],[Credit]]-Account_Data[[#This Row],[Debit]]</f>
        <v>-1000</v>
      </c>
      <c r="J735" s="7">
        <f>EOMONTH(Account_Data[[#This Row],[Date]],0)</f>
        <v>46112</v>
      </c>
      <c r="K735">
        <f>ABS(Account_Data[[#This Row],[Amount]])</f>
        <v>1000</v>
      </c>
    </row>
    <row r="736" spans="1:11" x14ac:dyDescent="0.35">
      <c r="A736" s="73">
        <v>46098</v>
      </c>
      <c r="B736" t="s">
        <v>176</v>
      </c>
      <c r="C736" s="3">
        <v>704</v>
      </c>
      <c r="E736" s="3">
        <v>297780.34999999998</v>
      </c>
      <c r="F736" t="str">
        <f>TEXT(Account_Data[[#This Row],[Date]],"mmm-yyyy")</f>
        <v>Mar-2026</v>
      </c>
      <c r="G736" t="str">
        <f>IF(Account_Data[[#This Row],[Credit]]&gt;0,"Income","Expense")</f>
        <v>Expense</v>
      </c>
      <c r="H7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6" s="3">
        <f>Account_Data[[#This Row],[Credit]]-Account_Data[[#This Row],[Debit]]</f>
        <v>-704</v>
      </c>
      <c r="J736" s="7">
        <f>EOMONTH(Account_Data[[#This Row],[Date]],0)</f>
        <v>46112</v>
      </c>
      <c r="K736">
        <f>ABS(Account_Data[[#This Row],[Amount]])</f>
        <v>704</v>
      </c>
    </row>
    <row r="737" spans="1:11" x14ac:dyDescent="0.35">
      <c r="A737" s="73">
        <v>46098</v>
      </c>
      <c r="B737" t="s">
        <v>351</v>
      </c>
      <c r="C737" s="3">
        <v>5000</v>
      </c>
      <c r="E737" s="3">
        <v>292780.34999999998</v>
      </c>
      <c r="F737" t="str">
        <f>TEXT(Account_Data[[#This Row],[Date]],"mmm-yyyy")</f>
        <v>Mar-2026</v>
      </c>
      <c r="G737" t="str">
        <f>IF(Account_Data[[#This Row],[Credit]]&gt;0,"Income","Expense")</f>
        <v>Expense</v>
      </c>
      <c r="H7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7" s="3">
        <f>Account_Data[[#This Row],[Credit]]-Account_Data[[#This Row],[Debit]]</f>
        <v>-5000</v>
      </c>
      <c r="J737" s="7">
        <f>EOMONTH(Account_Data[[#This Row],[Date]],0)</f>
        <v>46112</v>
      </c>
      <c r="K737">
        <f>ABS(Account_Data[[#This Row],[Amount]])</f>
        <v>5000</v>
      </c>
    </row>
    <row r="738" spans="1:11" x14ac:dyDescent="0.35">
      <c r="A738" s="73">
        <v>46098</v>
      </c>
      <c r="B738" t="s">
        <v>368</v>
      </c>
      <c r="C738" s="3">
        <v>20000</v>
      </c>
      <c r="E738" s="3">
        <v>272780.34999999998</v>
      </c>
      <c r="F738" t="str">
        <f>TEXT(Account_Data[[#This Row],[Date]],"mmm-yyyy")</f>
        <v>Mar-2026</v>
      </c>
      <c r="G738" t="str">
        <f>IF(Account_Data[[#This Row],[Credit]]&gt;0,"Income","Expense")</f>
        <v>Expense</v>
      </c>
      <c r="H7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738" s="3">
        <f>Account_Data[[#This Row],[Credit]]-Account_Data[[#This Row],[Debit]]</f>
        <v>-20000</v>
      </c>
      <c r="J738" s="7">
        <f>EOMONTH(Account_Data[[#This Row],[Date]],0)</f>
        <v>46112</v>
      </c>
      <c r="K738">
        <f>ABS(Account_Data[[#This Row],[Amount]])</f>
        <v>20000</v>
      </c>
    </row>
    <row r="739" spans="1:11" x14ac:dyDescent="0.35">
      <c r="A739" s="73">
        <v>46098</v>
      </c>
      <c r="B739" t="s">
        <v>338</v>
      </c>
      <c r="C739" s="3">
        <v>15</v>
      </c>
      <c r="E739" s="3">
        <v>272765.34999999998</v>
      </c>
      <c r="F739" t="str">
        <f>TEXT(Account_Data[[#This Row],[Date]],"mmm-yyyy")</f>
        <v>Mar-2026</v>
      </c>
      <c r="G739" t="str">
        <f>IF(Account_Data[[#This Row],[Credit]]&gt;0,"Income","Expense")</f>
        <v>Expense</v>
      </c>
      <c r="H7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39" s="3">
        <f>Account_Data[[#This Row],[Credit]]-Account_Data[[#This Row],[Debit]]</f>
        <v>-15</v>
      </c>
      <c r="J739" s="7">
        <f>EOMONTH(Account_Data[[#This Row],[Date]],0)</f>
        <v>46112</v>
      </c>
      <c r="K739">
        <f>ABS(Account_Data[[#This Row],[Amount]])</f>
        <v>15</v>
      </c>
    </row>
    <row r="740" spans="1:11" x14ac:dyDescent="0.35">
      <c r="A740" s="73">
        <v>46099</v>
      </c>
      <c r="B740" t="s">
        <v>338</v>
      </c>
      <c r="C740" s="3">
        <v>16</v>
      </c>
      <c r="E740" s="3">
        <v>272749.34999999998</v>
      </c>
      <c r="F740" t="str">
        <f>TEXT(Account_Data[[#This Row],[Date]],"mmm-yyyy")</f>
        <v>Mar-2026</v>
      </c>
      <c r="G740" t="str">
        <f>IF(Account_Data[[#This Row],[Credit]]&gt;0,"Income","Expense")</f>
        <v>Expense</v>
      </c>
      <c r="H7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0" s="3">
        <f>Account_Data[[#This Row],[Credit]]-Account_Data[[#This Row],[Debit]]</f>
        <v>-16</v>
      </c>
      <c r="J740" s="7">
        <f>EOMONTH(Account_Data[[#This Row],[Date]],0)</f>
        <v>46112</v>
      </c>
      <c r="K740">
        <f>ABS(Account_Data[[#This Row],[Amount]])</f>
        <v>16</v>
      </c>
    </row>
    <row r="741" spans="1:11" x14ac:dyDescent="0.35">
      <c r="A741" s="73">
        <v>46099</v>
      </c>
      <c r="B741" t="s">
        <v>387</v>
      </c>
      <c r="C741" s="3">
        <v>500</v>
      </c>
      <c r="E741" s="3">
        <v>272249.34999999998</v>
      </c>
      <c r="F741" t="str">
        <f>TEXT(Account_Data[[#This Row],[Date]],"mmm-yyyy")</f>
        <v>Mar-2026</v>
      </c>
      <c r="G741" t="str">
        <f>IF(Account_Data[[#This Row],[Credit]]&gt;0,"Income","Expense")</f>
        <v>Expense</v>
      </c>
      <c r="H7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1" s="3">
        <f>Account_Data[[#This Row],[Credit]]-Account_Data[[#This Row],[Debit]]</f>
        <v>-500</v>
      </c>
      <c r="J741" s="7">
        <f>EOMONTH(Account_Data[[#This Row],[Date]],0)</f>
        <v>46112</v>
      </c>
      <c r="K741">
        <f>ABS(Account_Data[[#This Row],[Amount]])</f>
        <v>500</v>
      </c>
    </row>
    <row r="742" spans="1:11" x14ac:dyDescent="0.35">
      <c r="A742" s="73">
        <v>46099</v>
      </c>
      <c r="B742" t="s">
        <v>113</v>
      </c>
      <c r="D742" s="3">
        <v>1000000</v>
      </c>
      <c r="E742" s="3">
        <v>1272249.3500000001</v>
      </c>
      <c r="F742" t="str">
        <f>TEXT(Account_Data[[#This Row],[Date]],"mmm-yyyy")</f>
        <v>Mar-2026</v>
      </c>
      <c r="G742" t="str">
        <f>IF(Account_Data[[#This Row],[Credit]]&gt;0,"Income","Expense")</f>
        <v>Income</v>
      </c>
      <c r="H7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Loan Taken</v>
      </c>
      <c r="I742" s="3">
        <f>Account_Data[[#This Row],[Credit]]-Account_Data[[#This Row],[Debit]]</f>
        <v>1000000</v>
      </c>
      <c r="J742" s="7">
        <f>EOMONTH(Account_Data[[#This Row],[Date]],0)</f>
        <v>46112</v>
      </c>
      <c r="K742">
        <f>ABS(Account_Data[[#This Row],[Amount]])</f>
        <v>1000000</v>
      </c>
    </row>
    <row r="743" spans="1:11" x14ac:dyDescent="0.35">
      <c r="A743" s="73">
        <v>46099</v>
      </c>
      <c r="B743" t="s">
        <v>388</v>
      </c>
      <c r="C743" s="3">
        <v>350</v>
      </c>
      <c r="E743" s="3">
        <v>1271899.3500000001</v>
      </c>
      <c r="F743" t="str">
        <f>TEXT(Account_Data[[#This Row],[Date]],"mmm-yyyy")</f>
        <v>Mar-2026</v>
      </c>
      <c r="G743" t="str">
        <f>IF(Account_Data[[#This Row],[Credit]]&gt;0,"Income","Expense")</f>
        <v>Expense</v>
      </c>
      <c r="H7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3" s="3">
        <f>Account_Data[[#This Row],[Credit]]-Account_Data[[#This Row],[Debit]]</f>
        <v>-350</v>
      </c>
      <c r="J743" s="7">
        <f>EOMONTH(Account_Data[[#This Row],[Date]],0)</f>
        <v>46112</v>
      </c>
      <c r="K743">
        <f>ABS(Account_Data[[#This Row],[Amount]])</f>
        <v>350</v>
      </c>
    </row>
    <row r="744" spans="1:11" x14ac:dyDescent="0.35">
      <c r="A744" s="73">
        <v>46100</v>
      </c>
      <c r="B744" t="s">
        <v>389</v>
      </c>
      <c r="C744" s="3">
        <v>350</v>
      </c>
      <c r="E744" s="3">
        <v>1271549.3500000001</v>
      </c>
      <c r="F744" t="str">
        <f>TEXT(Account_Data[[#This Row],[Date]],"mmm-yyyy")</f>
        <v>Mar-2026</v>
      </c>
      <c r="G744" t="str">
        <f>IF(Account_Data[[#This Row],[Credit]]&gt;0,"Income","Expense")</f>
        <v>Expense</v>
      </c>
      <c r="H7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4" s="3">
        <f>Account_Data[[#This Row],[Credit]]-Account_Data[[#This Row],[Debit]]</f>
        <v>-350</v>
      </c>
      <c r="J744" s="7">
        <f>EOMONTH(Account_Data[[#This Row],[Date]],0)</f>
        <v>46112</v>
      </c>
      <c r="K744">
        <f>ABS(Account_Data[[#This Row],[Amount]])</f>
        <v>350</v>
      </c>
    </row>
    <row r="745" spans="1:11" x14ac:dyDescent="0.35">
      <c r="A745" s="73">
        <v>46100</v>
      </c>
      <c r="B745" t="s">
        <v>264</v>
      </c>
      <c r="C745" s="3">
        <v>2100</v>
      </c>
      <c r="E745" s="3">
        <v>1269449.3500000001</v>
      </c>
      <c r="F745" t="str">
        <f>TEXT(Account_Data[[#This Row],[Date]],"mmm-yyyy")</f>
        <v>Mar-2026</v>
      </c>
      <c r="G745" t="str">
        <f>IF(Account_Data[[#This Row],[Credit]]&gt;0,"Income","Expense")</f>
        <v>Expense</v>
      </c>
      <c r="H7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5" s="3">
        <f>Account_Data[[#This Row],[Credit]]-Account_Data[[#This Row],[Debit]]</f>
        <v>-2100</v>
      </c>
      <c r="J745" s="7">
        <f>EOMONTH(Account_Data[[#This Row],[Date]],0)</f>
        <v>46112</v>
      </c>
      <c r="K745">
        <f>ABS(Account_Data[[#This Row],[Amount]])</f>
        <v>2100</v>
      </c>
    </row>
    <row r="746" spans="1:11" x14ac:dyDescent="0.35">
      <c r="A746" s="73">
        <v>46100</v>
      </c>
      <c r="B746" t="s">
        <v>326</v>
      </c>
      <c r="C746" s="3">
        <v>1000</v>
      </c>
      <c r="E746" s="3">
        <v>1268449.3500000001</v>
      </c>
      <c r="F746" t="str">
        <f>TEXT(Account_Data[[#This Row],[Date]],"mmm-yyyy")</f>
        <v>Mar-2026</v>
      </c>
      <c r="G746" t="str">
        <f>IF(Account_Data[[#This Row],[Credit]]&gt;0,"Income","Expense")</f>
        <v>Expense</v>
      </c>
      <c r="H7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6" s="3">
        <f>Account_Data[[#This Row],[Credit]]-Account_Data[[#This Row],[Debit]]</f>
        <v>-1000</v>
      </c>
      <c r="J746" s="7">
        <f>EOMONTH(Account_Data[[#This Row],[Date]],0)</f>
        <v>46112</v>
      </c>
      <c r="K746">
        <f>ABS(Account_Data[[#This Row],[Amount]])</f>
        <v>1000</v>
      </c>
    </row>
    <row r="747" spans="1:11" x14ac:dyDescent="0.35">
      <c r="A747" s="73">
        <v>46100</v>
      </c>
      <c r="B747" t="s">
        <v>344</v>
      </c>
      <c r="C747" s="3">
        <v>870</v>
      </c>
      <c r="E747" s="3">
        <v>1267579.3500000001</v>
      </c>
      <c r="F747" t="str">
        <f>TEXT(Account_Data[[#This Row],[Date]],"mmm-yyyy")</f>
        <v>Mar-2026</v>
      </c>
      <c r="G747" t="str">
        <f>IF(Account_Data[[#This Row],[Credit]]&gt;0,"Income","Expense")</f>
        <v>Expense</v>
      </c>
      <c r="H7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7" s="3">
        <f>Account_Data[[#This Row],[Credit]]-Account_Data[[#This Row],[Debit]]</f>
        <v>-870</v>
      </c>
      <c r="J747" s="7">
        <f>EOMONTH(Account_Data[[#This Row],[Date]],0)</f>
        <v>46112</v>
      </c>
      <c r="K747">
        <f>ABS(Account_Data[[#This Row],[Amount]])</f>
        <v>870</v>
      </c>
    </row>
    <row r="748" spans="1:11" x14ac:dyDescent="0.35">
      <c r="A748" s="73">
        <v>46101</v>
      </c>
      <c r="B748" t="s">
        <v>220</v>
      </c>
      <c r="C748" s="3">
        <v>5094</v>
      </c>
      <c r="E748" s="3">
        <v>1262485.3500000001</v>
      </c>
      <c r="F748" t="str">
        <f>TEXT(Account_Data[[#This Row],[Date]],"mmm-yyyy")</f>
        <v>Mar-2026</v>
      </c>
      <c r="G748" t="str">
        <f>IF(Account_Data[[#This Row],[Credit]]&gt;0,"Income","Expense")</f>
        <v>Expense</v>
      </c>
      <c r="H7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8" s="3">
        <f>Account_Data[[#This Row],[Credit]]-Account_Data[[#This Row],[Debit]]</f>
        <v>-5094</v>
      </c>
      <c r="J748" s="7">
        <f>EOMONTH(Account_Data[[#This Row],[Date]],0)</f>
        <v>46112</v>
      </c>
      <c r="K748">
        <f>ABS(Account_Data[[#This Row],[Amount]])</f>
        <v>5094</v>
      </c>
    </row>
    <row r="749" spans="1:11" x14ac:dyDescent="0.35">
      <c r="A749" s="73">
        <v>46101</v>
      </c>
      <c r="B749" t="s">
        <v>390</v>
      </c>
      <c r="C749" s="3">
        <v>740</v>
      </c>
      <c r="E749" s="3">
        <v>1261745.3500000001</v>
      </c>
      <c r="F749" t="str">
        <f>TEXT(Account_Data[[#This Row],[Date]],"mmm-yyyy")</f>
        <v>Mar-2026</v>
      </c>
      <c r="G749" t="str">
        <f>IF(Account_Data[[#This Row],[Credit]]&gt;0,"Income","Expense")</f>
        <v>Expense</v>
      </c>
      <c r="H7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49" s="3">
        <f>Account_Data[[#This Row],[Credit]]-Account_Data[[#This Row],[Debit]]</f>
        <v>-740</v>
      </c>
      <c r="J749" s="7">
        <f>EOMONTH(Account_Data[[#This Row],[Date]],0)</f>
        <v>46112</v>
      </c>
      <c r="K749">
        <f>ABS(Account_Data[[#This Row],[Amount]])</f>
        <v>740</v>
      </c>
    </row>
    <row r="750" spans="1:11" x14ac:dyDescent="0.35">
      <c r="A750" s="73">
        <v>46102</v>
      </c>
      <c r="B750" t="s">
        <v>391</v>
      </c>
      <c r="C750" s="3">
        <v>25500</v>
      </c>
      <c r="E750" s="3">
        <v>1236245.3500000001</v>
      </c>
      <c r="F750" t="str">
        <f>TEXT(Account_Data[[#This Row],[Date]],"mmm-yyyy")</f>
        <v>Mar-2026</v>
      </c>
      <c r="G750" t="str">
        <f>IF(Account_Data[[#This Row],[Credit]]&gt;0,"Income","Expense")</f>
        <v>Expense</v>
      </c>
      <c r="H7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0" s="3">
        <f>Account_Data[[#This Row],[Credit]]-Account_Data[[#This Row],[Debit]]</f>
        <v>-25500</v>
      </c>
      <c r="J750" s="7">
        <f>EOMONTH(Account_Data[[#This Row],[Date]],0)</f>
        <v>46112</v>
      </c>
      <c r="K750">
        <f>ABS(Account_Data[[#This Row],[Amount]])</f>
        <v>25500</v>
      </c>
    </row>
    <row r="751" spans="1:11" x14ac:dyDescent="0.35">
      <c r="A751" s="73">
        <v>46102</v>
      </c>
      <c r="B751" t="s">
        <v>360</v>
      </c>
      <c r="C751" s="3">
        <v>15500</v>
      </c>
      <c r="E751" s="3">
        <v>1220745.3500000001</v>
      </c>
      <c r="F751" t="str">
        <f>TEXT(Account_Data[[#This Row],[Date]],"mmm-yyyy")</f>
        <v>Mar-2026</v>
      </c>
      <c r="G751" t="str">
        <f>IF(Account_Data[[#This Row],[Credit]]&gt;0,"Income","Expense")</f>
        <v>Expense</v>
      </c>
      <c r="H7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1" s="3">
        <f>Account_Data[[#This Row],[Credit]]-Account_Data[[#This Row],[Debit]]</f>
        <v>-15500</v>
      </c>
      <c r="J751" s="7">
        <f>EOMONTH(Account_Data[[#This Row],[Date]],0)</f>
        <v>46112</v>
      </c>
      <c r="K751">
        <f>ABS(Account_Data[[#This Row],[Amount]])</f>
        <v>15500</v>
      </c>
    </row>
    <row r="752" spans="1:11" x14ac:dyDescent="0.35">
      <c r="A752" s="73">
        <v>46102</v>
      </c>
      <c r="B752" t="s">
        <v>216</v>
      </c>
      <c r="C752" s="3">
        <v>1300</v>
      </c>
      <c r="E752" s="3">
        <v>1219445.3500000001</v>
      </c>
      <c r="F752" t="str">
        <f>TEXT(Account_Data[[#This Row],[Date]],"mmm-yyyy")</f>
        <v>Mar-2026</v>
      </c>
      <c r="G752" t="str">
        <f>IF(Account_Data[[#This Row],[Credit]]&gt;0,"Income","Expense")</f>
        <v>Expense</v>
      </c>
      <c r="H7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2" s="3">
        <f>Account_Data[[#This Row],[Credit]]-Account_Data[[#This Row],[Debit]]</f>
        <v>-1300</v>
      </c>
      <c r="J752" s="7">
        <f>EOMONTH(Account_Data[[#This Row],[Date]],0)</f>
        <v>46112</v>
      </c>
      <c r="K752">
        <f>ABS(Account_Data[[#This Row],[Amount]])</f>
        <v>1300</v>
      </c>
    </row>
    <row r="753" spans="1:11" x14ac:dyDescent="0.35">
      <c r="A753" s="73">
        <v>46103</v>
      </c>
      <c r="B753" t="s">
        <v>392</v>
      </c>
      <c r="C753" s="3">
        <v>70</v>
      </c>
      <c r="E753" s="3">
        <v>1219375.3500000001</v>
      </c>
      <c r="F753" t="str">
        <f>TEXT(Account_Data[[#This Row],[Date]],"mmm-yyyy")</f>
        <v>Mar-2026</v>
      </c>
      <c r="G753" t="str">
        <f>IF(Account_Data[[#This Row],[Credit]]&gt;0,"Income","Expense")</f>
        <v>Expense</v>
      </c>
      <c r="H7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3" s="3">
        <f>Account_Data[[#This Row],[Credit]]-Account_Data[[#This Row],[Debit]]</f>
        <v>-70</v>
      </c>
      <c r="J753" s="7">
        <f>EOMONTH(Account_Data[[#This Row],[Date]],0)</f>
        <v>46112</v>
      </c>
      <c r="K753">
        <f>ABS(Account_Data[[#This Row],[Amount]])</f>
        <v>70</v>
      </c>
    </row>
    <row r="754" spans="1:11" x14ac:dyDescent="0.35">
      <c r="A754" s="73">
        <v>46103</v>
      </c>
      <c r="B754" t="s">
        <v>393</v>
      </c>
      <c r="C754" s="3">
        <v>500</v>
      </c>
      <c r="E754" s="3">
        <v>1218875.3500000001</v>
      </c>
      <c r="F754" t="str">
        <f>TEXT(Account_Data[[#This Row],[Date]],"mmm-yyyy")</f>
        <v>Mar-2026</v>
      </c>
      <c r="G754" t="str">
        <f>IF(Account_Data[[#This Row],[Credit]]&gt;0,"Income","Expense")</f>
        <v>Expense</v>
      </c>
      <c r="H7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4" s="3">
        <f>Account_Data[[#This Row],[Credit]]-Account_Data[[#This Row],[Debit]]</f>
        <v>-500</v>
      </c>
      <c r="J754" s="7">
        <f>EOMONTH(Account_Data[[#This Row],[Date]],0)</f>
        <v>46112</v>
      </c>
      <c r="K754">
        <f>ABS(Account_Data[[#This Row],[Amount]])</f>
        <v>500</v>
      </c>
    </row>
    <row r="755" spans="1:11" x14ac:dyDescent="0.35">
      <c r="A755" s="73">
        <v>46105</v>
      </c>
      <c r="B755" t="s">
        <v>138</v>
      </c>
      <c r="D755" s="3">
        <v>59.52</v>
      </c>
      <c r="E755" s="3">
        <v>1218934.8700000001</v>
      </c>
      <c r="F755" t="str">
        <f>TEXT(Account_Data[[#This Row],[Date]],"mmm-yyyy")</f>
        <v>Mar-2026</v>
      </c>
      <c r="G755" t="str">
        <f>IF(Account_Data[[#This Row],[Credit]]&gt;0,"Income","Expense")</f>
        <v>Income</v>
      </c>
      <c r="H7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755" s="3">
        <f>Account_Data[[#This Row],[Credit]]-Account_Data[[#This Row],[Debit]]</f>
        <v>59.52</v>
      </c>
      <c r="J755" s="7">
        <f>EOMONTH(Account_Data[[#This Row],[Date]],0)</f>
        <v>46112</v>
      </c>
      <c r="K755">
        <f>ABS(Account_Data[[#This Row],[Amount]])</f>
        <v>59.52</v>
      </c>
    </row>
    <row r="756" spans="1:11" x14ac:dyDescent="0.35">
      <c r="A756" s="73">
        <v>46106</v>
      </c>
      <c r="B756" t="s">
        <v>394</v>
      </c>
      <c r="C756" s="3">
        <v>7</v>
      </c>
      <c r="E756" s="3">
        <v>1218927.8700000001</v>
      </c>
      <c r="F756" t="str">
        <f>TEXT(Account_Data[[#This Row],[Date]],"mmm-yyyy")</f>
        <v>Mar-2026</v>
      </c>
      <c r="G756" t="str">
        <f>IF(Account_Data[[#This Row],[Credit]]&gt;0,"Income","Expense")</f>
        <v>Expense</v>
      </c>
      <c r="H7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6" s="3">
        <f>Account_Data[[#This Row],[Credit]]-Account_Data[[#This Row],[Debit]]</f>
        <v>-7</v>
      </c>
      <c r="J756" s="7">
        <f>EOMONTH(Account_Data[[#This Row],[Date]],0)</f>
        <v>46112</v>
      </c>
      <c r="K756">
        <f>ABS(Account_Data[[#This Row],[Amount]])</f>
        <v>7</v>
      </c>
    </row>
    <row r="757" spans="1:11" x14ac:dyDescent="0.35">
      <c r="A757" s="73">
        <v>46106</v>
      </c>
      <c r="B757" t="s">
        <v>201</v>
      </c>
      <c r="C757" s="3">
        <v>10000</v>
      </c>
      <c r="E757" s="3">
        <v>1208927.8700000001</v>
      </c>
      <c r="F757" t="str">
        <f>TEXT(Account_Data[[#This Row],[Date]],"mmm-yyyy")</f>
        <v>Mar-2026</v>
      </c>
      <c r="G757" t="str">
        <f>IF(Account_Data[[#This Row],[Credit]]&gt;0,"Income","Expense")</f>
        <v>Expense</v>
      </c>
      <c r="H7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7" s="3">
        <f>Account_Data[[#This Row],[Credit]]-Account_Data[[#This Row],[Debit]]</f>
        <v>-10000</v>
      </c>
      <c r="J757" s="7">
        <f>EOMONTH(Account_Data[[#This Row],[Date]],0)</f>
        <v>46112</v>
      </c>
      <c r="K757">
        <f>ABS(Account_Data[[#This Row],[Amount]])</f>
        <v>10000</v>
      </c>
    </row>
    <row r="758" spans="1:11" x14ac:dyDescent="0.35">
      <c r="A758" s="73">
        <v>46106</v>
      </c>
      <c r="B758" t="s">
        <v>115</v>
      </c>
      <c r="D758" s="3">
        <v>6693</v>
      </c>
      <c r="E758" s="3">
        <v>1215620.8700000001</v>
      </c>
      <c r="F758" t="str">
        <f>TEXT(Account_Data[[#This Row],[Date]],"mmm-yyyy")</f>
        <v>Mar-2026</v>
      </c>
      <c r="G758" t="str">
        <f>IF(Account_Data[[#This Row],[Credit]]&gt;0,"Income","Expense")</f>
        <v>Income</v>
      </c>
      <c r="H7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758" s="3">
        <f>Account_Data[[#This Row],[Credit]]-Account_Data[[#This Row],[Debit]]</f>
        <v>6693</v>
      </c>
      <c r="J758" s="7">
        <f>EOMONTH(Account_Data[[#This Row],[Date]],0)</f>
        <v>46112</v>
      </c>
      <c r="K758">
        <f>ABS(Account_Data[[#This Row],[Amount]])</f>
        <v>6693</v>
      </c>
    </row>
    <row r="759" spans="1:11" x14ac:dyDescent="0.35">
      <c r="A759" s="73">
        <v>46107</v>
      </c>
      <c r="B759" t="s">
        <v>395</v>
      </c>
      <c r="C759" s="3">
        <v>5000</v>
      </c>
      <c r="E759" s="3">
        <v>1210620.8700000001</v>
      </c>
      <c r="F759" t="str">
        <f>TEXT(Account_Data[[#This Row],[Date]],"mmm-yyyy")</f>
        <v>Mar-2026</v>
      </c>
      <c r="G759" t="str">
        <f>IF(Account_Data[[#This Row],[Credit]]&gt;0,"Income","Expense")</f>
        <v>Expense</v>
      </c>
      <c r="H7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59" s="3">
        <f>Account_Data[[#This Row],[Credit]]-Account_Data[[#This Row],[Debit]]</f>
        <v>-5000</v>
      </c>
      <c r="J759" s="7">
        <f>EOMONTH(Account_Data[[#This Row],[Date]],0)</f>
        <v>46112</v>
      </c>
      <c r="K759">
        <f>ABS(Account_Data[[#This Row],[Amount]])</f>
        <v>5000</v>
      </c>
    </row>
    <row r="760" spans="1:11" x14ac:dyDescent="0.35">
      <c r="A760" s="73">
        <v>46107</v>
      </c>
      <c r="B760" t="s">
        <v>165</v>
      </c>
      <c r="C760" s="3">
        <v>321</v>
      </c>
      <c r="E760" s="3">
        <v>1210299.8700000001</v>
      </c>
      <c r="F760" t="str">
        <f>TEXT(Account_Data[[#This Row],[Date]],"mmm-yyyy")</f>
        <v>Mar-2026</v>
      </c>
      <c r="G760" t="str">
        <f>IF(Account_Data[[#This Row],[Credit]]&gt;0,"Income","Expense")</f>
        <v>Expense</v>
      </c>
      <c r="H7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60" s="3">
        <f>Account_Data[[#This Row],[Credit]]-Account_Data[[#This Row],[Debit]]</f>
        <v>-321</v>
      </c>
      <c r="J760" s="7">
        <f>EOMONTH(Account_Data[[#This Row],[Date]],0)</f>
        <v>46112</v>
      </c>
      <c r="K760">
        <f>ABS(Account_Data[[#This Row],[Amount]])</f>
        <v>321</v>
      </c>
    </row>
    <row r="761" spans="1:11" x14ac:dyDescent="0.35">
      <c r="A761" s="73">
        <v>46108</v>
      </c>
      <c r="B761" t="s">
        <v>396</v>
      </c>
      <c r="C761" s="3">
        <v>2100</v>
      </c>
      <c r="E761" s="3">
        <v>1208199.8700000001</v>
      </c>
      <c r="F761" t="str">
        <f>TEXT(Account_Data[[#This Row],[Date]],"mmm-yyyy")</f>
        <v>Mar-2026</v>
      </c>
      <c r="G761" t="str">
        <f>IF(Account_Data[[#This Row],[Credit]]&gt;0,"Income","Expense")</f>
        <v>Expense</v>
      </c>
      <c r="H7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61" s="3">
        <f>Account_Data[[#This Row],[Credit]]-Account_Data[[#This Row],[Debit]]</f>
        <v>-2100</v>
      </c>
      <c r="J761" s="7">
        <f>EOMONTH(Account_Data[[#This Row],[Date]],0)</f>
        <v>46112</v>
      </c>
      <c r="K761">
        <f>ABS(Account_Data[[#This Row],[Amount]])</f>
        <v>2100</v>
      </c>
    </row>
    <row r="762" spans="1:11" x14ac:dyDescent="0.35">
      <c r="A762" s="73">
        <v>46109</v>
      </c>
      <c r="B762" t="s">
        <v>395</v>
      </c>
      <c r="C762" s="3">
        <v>5000</v>
      </c>
      <c r="E762" s="3">
        <v>1203199.8700000001</v>
      </c>
      <c r="F762" t="str">
        <f>TEXT(Account_Data[[#This Row],[Date]],"mmm-yyyy")</f>
        <v>Mar-2026</v>
      </c>
      <c r="G762" t="str">
        <f>IF(Account_Data[[#This Row],[Credit]]&gt;0,"Income","Expense")</f>
        <v>Expense</v>
      </c>
      <c r="H7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62" s="3">
        <f>Account_Data[[#This Row],[Credit]]-Account_Data[[#This Row],[Debit]]</f>
        <v>-5000</v>
      </c>
      <c r="J762" s="7">
        <f>EOMONTH(Account_Data[[#This Row],[Date]],0)</f>
        <v>46112</v>
      </c>
      <c r="K762">
        <f>ABS(Account_Data[[#This Row],[Amount]])</f>
        <v>5000</v>
      </c>
    </row>
    <row r="763" spans="1:11" x14ac:dyDescent="0.35">
      <c r="A763" s="73">
        <v>46109</v>
      </c>
      <c r="B763" t="s">
        <v>397</v>
      </c>
      <c r="C763" s="3">
        <v>7000</v>
      </c>
      <c r="E763" s="3">
        <v>1196199.8700000001</v>
      </c>
      <c r="F763" t="str">
        <f>TEXT(Account_Data[[#This Row],[Date]],"mmm-yyyy")</f>
        <v>Mar-2026</v>
      </c>
      <c r="G763" t="str">
        <f>IF(Account_Data[[#This Row],[Credit]]&gt;0,"Income","Expense")</f>
        <v>Expense</v>
      </c>
      <c r="H7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63" s="3">
        <f>Account_Data[[#This Row],[Credit]]-Account_Data[[#This Row],[Debit]]</f>
        <v>-7000</v>
      </c>
      <c r="J763" s="7">
        <f>EOMONTH(Account_Data[[#This Row],[Date]],0)</f>
        <v>46112</v>
      </c>
      <c r="K763">
        <f>ABS(Account_Data[[#This Row],[Amount]])</f>
        <v>7000</v>
      </c>
    </row>
    <row r="764" spans="1:11" x14ac:dyDescent="0.35">
      <c r="A764" s="73">
        <v>46114</v>
      </c>
      <c r="B764" t="s">
        <v>398</v>
      </c>
      <c r="C764" s="3">
        <v>399</v>
      </c>
      <c r="E764" s="3">
        <v>1181745.8700000001</v>
      </c>
      <c r="F764" t="str">
        <f>TEXT(Account_Data[[#This Row],[Date]],"mmm-yyyy")</f>
        <v>Apr-2026</v>
      </c>
      <c r="G764" t="str">
        <f>IF(Account_Data[[#This Row],[Credit]]&gt;0,"Income","Expense")</f>
        <v>Expense</v>
      </c>
      <c r="H7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64" s="3">
        <f>Account_Data[[#This Row],[Credit]]-Account_Data[[#This Row],[Debit]]</f>
        <v>-399</v>
      </c>
      <c r="J764" s="7">
        <f>EOMONTH(Account_Data[[#This Row],[Date]],0)</f>
        <v>46142</v>
      </c>
      <c r="K764">
        <f>ABS(Account_Data[[#This Row],[Amount]])</f>
        <v>399</v>
      </c>
    </row>
    <row r="765" spans="1:11" x14ac:dyDescent="0.35">
      <c r="A765" s="73">
        <v>46114</v>
      </c>
      <c r="B765" t="s">
        <v>139</v>
      </c>
      <c r="C765" s="3">
        <v>2000</v>
      </c>
      <c r="E765" s="3">
        <v>1179745.8700000001</v>
      </c>
      <c r="F765" t="str">
        <f>TEXT(Account_Data[[#This Row],[Date]],"mmm-yyyy")</f>
        <v>Apr-2026</v>
      </c>
      <c r="G765" t="str">
        <f>IF(Account_Data[[#This Row],[Credit]]&gt;0,"Income","Expense")</f>
        <v>Expense</v>
      </c>
      <c r="H7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65" s="3">
        <f>Account_Data[[#This Row],[Credit]]-Account_Data[[#This Row],[Debit]]</f>
        <v>-2000</v>
      </c>
      <c r="J765" s="7">
        <f>EOMONTH(Account_Data[[#This Row],[Date]],0)</f>
        <v>46142</v>
      </c>
      <c r="K765">
        <f>ABS(Account_Data[[#This Row],[Amount]])</f>
        <v>2000</v>
      </c>
    </row>
    <row r="766" spans="1:11" ht="29" x14ac:dyDescent="0.35">
      <c r="A766" s="73">
        <v>46114</v>
      </c>
      <c r="B766" s="74" t="s">
        <v>499</v>
      </c>
      <c r="D766" s="3">
        <v>117589</v>
      </c>
      <c r="E766" s="3">
        <v>1297334.8700000001</v>
      </c>
      <c r="F766" t="str">
        <f>TEXT(Account_Data[[#This Row],[Date]],"mmm-yyyy")</f>
        <v>Apr-2026</v>
      </c>
      <c r="G766" t="str">
        <f>IF(Account_Data[[#This Row],[Credit]]&gt;0,"Income","Expense")</f>
        <v>Income</v>
      </c>
      <c r="H7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766" s="3">
        <f>Account_Data[[#This Row],[Credit]]-Account_Data[[#This Row],[Debit]]</f>
        <v>117589</v>
      </c>
      <c r="J766" s="7">
        <f>EOMONTH(Account_Data[[#This Row],[Date]],0)</f>
        <v>46142</v>
      </c>
      <c r="K766">
        <f>ABS(Account_Data[[#This Row],[Amount]])</f>
        <v>117589</v>
      </c>
    </row>
    <row r="767" spans="1:11" x14ac:dyDescent="0.35">
      <c r="A767" s="73">
        <v>46114</v>
      </c>
      <c r="B767" t="s">
        <v>139</v>
      </c>
      <c r="C767" s="3">
        <v>2000</v>
      </c>
      <c r="E767" s="3">
        <v>1295334.8700000001</v>
      </c>
      <c r="F767" t="str">
        <f>TEXT(Account_Data[[#This Row],[Date]],"mmm-yyyy")</f>
        <v>Apr-2026</v>
      </c>
      <c r="G767" t="str">
        <f>IF(Account_Data[[#This Row],[Credit]]&gt;0,"Income","Expense")</f>
        <v>Expense</v>
      </c>
      <c r="H7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67" s="3">
        <f>Account_Data[[#This Row],[Credit]]-Account_Data[[#This Row],[Debit]]</f>
        <v>-2000</v>
      </c>
      <c r="J767" s="7">
        <f>EOMONTH(Account_Data[[#This Row],[Date]],0)</f>
        <v>46142</v>
      </c>
      <c r="K767">
        <f>ABS(Account_Data[[#This Row],[Amount]])</f>
        <v>2000</v>
      </c>
    </row>
    <row r="768" spans="1:11" x14ac:dyDescent="0.35">
      <c r="A768" s="73">
        <v>46114</v>
      </c>
      <c r="B768" t="s">
        <v>139</v>
      </c>
      <c r="C768" s="3">
        <v>3000</v>
      </c>
      <c r="E768" s="3">
        <v>1292334.8700000001</v>
      </c>
      <c r="F768" t="str">
        <f>TEXT(Account_Data[[#This Row],[Date]],"mmm-yyyy")</f>
        <v>Apr-2026</v>
      </c>
      <c r="G768" t="str">
        <f>IF(Account_Data[[#This Row],[Credit]]&gt;0,"Income","Expense")</f>
        <v>Expense</v>
      </c>
      <c r="H7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68" s="3">
        <f>Account_Data[[#This Row],[Credit]]-Account_Data[[#This Row],[Debit]]</f>
        <v>-3000</v>
      </c>
      <c r="J768" s="7">
        <f>EOMONTH(Account_Data[[#This Row],[Date]],0)</f>
        <v>46142</v>
      </c>
      <c r="K768">
        <f>ABS(Account_Data[[#This Row],[Amount]])</f>
        <v>3000</v>
      </c>
    </row>
    <row r="769" spans="1:11" x14ac:dyDescent="0.35">
      <c r="A769" s="73">
        <v>46114</v>
      </c>
      <c r="B769" t="s">
        <v>139</v>
      </c>
      <c r="C769" s="3">
        <v>5000</v>
      </c>
      <c r="E769" s="3">
        <v>1287334.8700000001</v>
      </c>
      <c r="F769" t="str">
        <f>TEXT(Account_Data[[#This Row],[Date]],"mmm-yyyy")</f>
        <v>Apr-2026</v>
      </c>
      <c r="G769" t="str">
        <f>IF(Account_Data[[#This Row],[Credit]]&gt;0,"Income","Expense")</f>
        <v>Expense</v>
      </c>
      <c r="H7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69" s="3">
        <f>Account_Data[[#This Row],[Credit]]-Account_Data[[#This Row],[Debit]]</f>
        <v>-5000</v>
      </c>
      <c r="J769" s="7">
        <f>EOMONTH(Account_Data[[#This Row],[Date]],0)</f>
        <v>46142</v>
      </c>
      <c r="K769">
        <f>ABS(Account_Data[[#This Row],[Amount]])</f>
        <v>5000</v>
      </c>
    </row>
    <row r="770" spans="1:11" x14ac:dyDescent="0.35">
      <c r="A770" s="73">
        <v>46114</v>
      </c>
      <c r="B770" t="s">
        <v>139</v>
      </c>
      <c r="C770" s="3">
        <v>2000</v>
      </c>
      <c r="E770" s="3">
        <v>1285334.8700000001</v>
      </c>
      <c r="F770" t="str">
        <f>TEXT(Account_Data[[#This Row],[Date]],"mmm-yyyy")</f>
        <v>Apr-2026</v>
      </c>
      <c r="G770" t="str">
        <f>IF(Account_Data[[#This Row],[Credit]]&gt;0,"Income","Expense")</f>
        <v>Expense</v>
      </c>
      <c r="H7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70" s="3">
        <f>Account_Data[[#This Row],[Credit]]-Account_Data[[#This Row],[Debit]]</f>
        <v>-2000</v>
      </c>
      <c r="J770" s="7">
        <f>EOMONTH(Account_Data[[#This Row],[Date]],0)</f>
        <v>46142</v>
      </c>
      <c r="K770">
        <f>ABS(Account_Data[[#This Row],[Amount]])</f>
        <v>2000</v>
      </c>
    </row>
    <row r="771" spans="1:11" x14ac:dyDescent="0.35">
      <c r="A771" s="73">
        <v>46114</v>
      </c>
      <c r="B771" t="s">
        <v>140</v>
      </c>
      <c r="C771" s="3">
        <v>1000</v>
      </c>
      <c r="E771" s="3">
        <v>1284334.8700000001</v>
      </c>
      <c r="F771" t="str">
        <f>TEXT(Account_Data[[#This Row],[Date]],"mmm-yyyy")</f>
        <v>Apr-2026</v>
      </c>
      <c r="G771" t="str">
        <f>IF(Account_Data[[#This Row],[Credit]]&gt;0,"Income","Expense")</f>
        <v>Expense</v>
      </c>
      <c r="H7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771" s="3">
        <f>Account_Data[[#This Row],[Credit]]-Account_Data[[#This Row],[Debit]]</f>
        <v>-1000</v>
      </c>
      <c r="J771" s="7">
        <f>EOMONTH(Account_Data[[#This Row],[Date]],0)</f>
        <v>46142</v>
      </c>
      <c r="K771">
        <f>ABS(Account_Data[[#This Row],[Amount]])</f>
        <v>1000</v>
      </c>
    </row>
    <row r="772" spans="1:11" x14ac:dyDescent="0.35">
      <c r="A772" s="73">
        <v>46114</v>
      </c>
      <c r="B772" t="s">
        <v>140</v>
      </c>
      <c r="C772" s="3">
        <v>1500</v>
      </c>
      <c r="E772" s="3">
        <v>1282834.8700000001</v>
      </c>
      <c r="F772" t="str">
        <f>TEXT(Account_Data[[#This Row],[Date]],"mmm-yyyy")</f>
        <v>Apr-2026</v>
      </c>
      <c r="G772" t="str">
        <f>IF(Account_Data[[#This Row],[Credit]]&gt;0,"Income","Expense")</f>
        <v>Expense</v>
      </c>
      <c r="H7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772" s="3">
        <f>Account_Data[[#This Row],[Credit]]-Account_Data[[#This Row],[Debit]]</f>
        <v>-1500</v>
      </c>
      <c r="J772" s="7">
        <f>EOMONTH(Account_Data[[#This Row],[Date]],0)</f>
        <v>46142</v>
      </c>
      <c r="K772">
        <f>ABS(Account_Data[[#This Row],[Amount]])</f>
        <v>1500</v>
      </c>
    </row>
    <row r="773" spans="1:11" x14ac:dyDescent="0.35">
      <c r="A773" s="73">
        <v>46114</v>
      </c>
      <c r="B773" t="s">
        <v>141</v>
      </c>
      <c r="C773" s="3">
        <v>7717</v>
      </c>
      <c r="E773" s="3">
        <v>1275117.8700000001</v>
      </c>
      <c r="F773" t="str">
        <f>TEXT(Account_Data[[#This Row],[Date]],"mmm-yyyy")</f>
        <v>Apr-2026</v>
      </c>
      <c r="G773" t="str">
        <f>IF(Account_Data[[#This Row],[Credit]]&gt;0,"Income","Expense")</f>
        <v>Expense</v>
      </c>
      <c r="H7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73" s="3">
        <f>Account_Data[[#This Row],[Credit]]-Account_Data[[#This Row],[Debit]]</f>
        <v>-7717</v>
      </c>
      <c r="J773" s="7">
        <f>EOMONTH(Account_Data[[#This Row],[Date]],0)</f>
        <v>46142</v>
      </c>
      <c r="K773">
        <f>ABS(Account_Data[[#This Row],[Amount]])</f>
        <v>7717</v>
      </c>
    </row>
    <row r="774" spans="1:11" x14ac:dyDescent="0.35">
      <c r="A774" s="73">
        <v>46114</v>
      </c>
      <c r="B774" t="s">
        <v>141</v>
      </c>
      <c r="C774" s="3">
        <v>8704</v>
      </c>
      <c r="E774" s="3">
        <v>1266413.8700000001</v>
      </c>
      <c r="F774" t="str">
        <f>TEXT(Account_Data[[#This Row],[Date]],"mmm-yyyy")</f>
        <v>Apr-2026</v>
      </c>
      <c r="G774" t="str">
        <f>IF(Account_Data[[#This Row],[Credit]]&gt;0,"Income","Expense")</f>
        <v>Expense</v>
      </c>
      <c r="H7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74" s="3">
        <f>Account_Data[[#This Row],[Credit]]-Account_Data[[#This Row],[Debit]]</f>
        <v>-8704</v>
      </c>
      <c r="J774" s="7">
        <f>EOMONTH(Account_Data[[#This Row],[Date]],0)</f>
        <v>46142</v>
      </c>
      <c r="K774">
        <f>ABS(Account_Data[[#This Row],[Amount]])</f>
        <v>8704</v>
      </c>
    </row>
    <row r="775" spans="1:11" x14ac:dyDescent="0.35">
      <c r="A775" s="73">
        <v>46114</v>
      </c>
      <c r="B775" t="s">
        <v>399</v>
      </c>
      <c r="C775" s="3">
        <v>27500</v>
      </c>
      <c r="E775" s="3">
        <v>1238913.8700000001</v>
      </c>
      <c r="F775" t="str">
        <f>TEXT(Account_Data[[#This Row],[Date]],"mmm-yyyy")</f>
        <v>Apr-2026</v>
      </c>
      <c r="G775" t="str">
        <f>IF(Account_Data[[#This Row],[Credit]]&gt;0,"Income","Expense")</f>
        <v>Expense</v>
      </c>
      <c r="H7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75" s="3">
        <f>Account_Data[[#This Row],[Credit]]-Account_Data[[#This Row],[Debit]]</f>
        <v>-27500</v>
      </c>
      <c r="J775" s="7">
        <f>EOMONTH(Account_Data[[#This Row],[Date]],0)</f>
        <v>46142</v>
      </c>
      <c r="K775">
        <f>ABS(Account_Data[[#This Row],[Amount]])</f>
        <v>27500</v>
      </c>
    </row>
    <row r="776" spans="1:11" x14ac:dyDescent="0.35">
      <c r="A776" s="73">
        <v>46115</v>
      </c>
      <c r="B776" t="s">
        <v>400</v>
      </c>
      <c r="C776" s="3">
        <v>9000</v>
      </c>
      <c r="E776" s="3">
        <v>1229913.8700000001</v>
      </c>
      <c r="F776" t="str">
        <f>TEXT(Account_Data[[#This Row],[Date]],"mmm-yyyy")</f>
        <v>Apr-2026</v>
      </c>
      <c r="G776" t="str">
        <f>IF(Account_Data[[#This Row],[Credit]]&gt;0,"Income","Expense")</f>
        <v>Expense</v>
      </c>
      <c r="H7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776" s="3">
        <f>Account_Data[[#This Row],[Credit]]-Account_Data[[#This Row],[Debit]]</f>
        <v>-9000</v>
      </c>
      <c r="J776" s="7">
        <f>EOMONTH(Account_Data[[#This Row],[Date]],0)</f>
        <v>46142</v>
      </c>
      <c r="K776">
        <f>ABS(Account_Data[[#This Row],[Amount]])</f>
        <v>9000</v>
      </c>
    </row>
    <row r="777" spans="1:11" x14ac:dyDescent="0.35">
      <c r="A777" s="73">
        <v>46115</v>
      </c>
      <c r="B777" t="s">
        <v>401</v>
      </c>
      <c r="C777" s="3">
        <v>190</v>
      </c>
      <c r="E777" s="3">
        <v>1229723.8700000001</v>
      </c>
      <c r="F777" t="str">
        <f>TEXT(Account_Data[[#This Row],[Date]],"mmm-yyyy")</f>
        <v>Apr-2026</v>
      </c>
      <c r="G777" t="str">
        <f>IF(Account_Data[[#This Row],[Credit]]&gt;0,"Income","Expense")</f>
        <v>Expense</v>
      </c>
      <c r="H7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77" s="3">
        <f>Account_Data[[#This Row],[Credit]]-Account_Data[[#This Row],[Debit]]</f>
        <v>-190</v>
      </c>
      <c r="J777" s="7">
        <f>EOMONTH(Account_Data[[#This Row],[Date]],0)</f>
        <v>46142</v>
      </c>
      <c r="K777">
        <f>ABS(Account_Data[[#This Row],[Amount]])</f>
        <v>190</v>
      </c>
    </row>
    <row r="778" spans="1:11" x14ac:dyDescent="0.35">
      <c r="A778" s="73">
        <v>46115</v>
      </c>
      <c r="B778" t="s">
        <v>402</v>
      </c>
      <c r="C778" s="3">
        <v>260</v>
      </c>
      <c r="E778" s="3">
        <v>1229463.8700000001</v>
      </c>
      <c r="F778" t="str">
        <f>TEXT(Account_Data[[#This Row],[Date]],"mmm-yyyy")</f>
        <v>Apr-2026</v>
      </c>
      <c r="G778" t="str">
        <f>IF(Account_Data[[#This Row],[Credit]]&gt;0,"Income","Expense")</f>
        <v>Expense</v>
      </c>
      <c r="H7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78" s="3">
        <f>Account_Data[[#This Row],[Credit]]-Account_Data[[#This Row],[Debit]]</f>
        <v>-260</v>
      </c>
      <c r="J778" s="7">
        <f>EOMONTH(Account_Data[[#This Row],[Date]],0)</f>
        <v>46142</v>
      </c>
      <c r="K778">
        <f>ABS(Account_Data[[#This Row],[Amount]])</f>
        <v>260</v>
      </c>
    </row>
    <row r="779" spans="1:11" x14ac:dyDescent="0.35">
      <c r="A779" s="73">
        <v>46116</v>
      </c>
      <c r="B779" t="s">
        <v>403</v>
      </c>
      <c r="C779" s="3">
        <v>20000</v>
      </c>
      <c r="E779" s="3">
        <v>1209463.8700000001</v>
      </c>
      <c r="F779" t="str">
        <f>TEXT(Account_Data[[#This Row],[Date]],"mmm-yyyy")</f>
        <v>Apr-2026</v>
      </c>
      <c r="G779" t="str">
        <f>IF(Account_Data[[#This Row],[Credit]]&gt;0,"Income","Expense")</f>
        <v>Expense</v>
      </c>
      <c r="H7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79" s="3">
        <f>Account_Data[[#This Row],[Credit]]-Account_Data[[#This Row],[Debit]]</f>
        <v>-20000</v>
      </c>
      <c r="J779" s="7">
        <f>EOMONTH(Account_Data[[#This Row],[Date]],0)</f>
        <v>46142</v>
      </c>
      <c r="K779">
        <f>ABS(Account_Data[[#This Row],[Amount]])</f>
        <v>20000</v>
      </c>
    </row>
    <row r="780" spans="1:11" x14ac:dyDescent="0.35">
      <c r="A780" s="73">
        <v>46116</v>
      </c>
      <c r="B780" t="s">
        <v>141</v>
      </c>
      <c r="C780" s="3">
        <v>60700</v>
      </c>
      <c r="E780" s="3">
        <v>1148763.8700000001</v>
      </c>
      <c r="F780" t="str">
        <f>TEXT(Account_Data[[#This Row],[Date]],"mmm-yyyy")</f>
        <v>Apr-2026</v>
      </c>
      <c r="G780" t="str">
        <f>IF(Account_Data[[#This Row],[Credit]]&gt;0,"Income","Expense")</f>
        <v>Expense</v>
      </c>
      <c r="H7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80" s="3">
        <f>Account_Data[[#This Row],[Credit]]-Account_Data[[#This Row],[Debit]]</f>
        <v>-60700</v>
      </c>
      <c r="J780" s="7">
        <f>EOMONTH(Account_Data[[#This Row],[Date]],0)</f>
        <v>46142</v>
      </c>
      <c r="K780">
        <f>ABS(Account_Data[[#This Row],[Amount]])</f>
        <v>60700</v>
      </c>
    </row>
    <row r="781" spans="1:11" x14ac:dyDescent="0.35">
      <c r="A781" s="73">
        <v>46116</v>
      </c>
      <c r="B781" t="s">
        <v>141</v>
      </c>
      <c r="C781" s="3">
        <v>6280</v>
      </c>
      <c r="E781" s="3">
        <v>1142483.8700000001</v>
      </c>
      <c r="F781" t="str">
        <f>TEXT(Account_Data[[#This Row],[Date]],"mmm-yyyy")</f>
        <v>Apr-2026</v>
      </c>
      <c r="G781" t="str">
        <f>IF(Account_Data[[#This Row],[Credit]]&gt;0,"Income","Expense")</f>
        <v>Expense</v>
      </c>
      <c r="H7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81" s="3">
        <f>Account_Data[[#This Row],[Credit]]-Account_Data[[#This Row],[Debit]]</f>
        <v>-6280</v>
      </c>
      <c r="J781" s="7">
        <f>EOMONTH(Account_Data[[#This Row],[Date]],0)</f>
        <v>46142</v>
      </c>
      <c r="K781">
        <f>ABS(Account_Data[[#This Row],[Amount]])</f>
        <v>6280</v>
      </c>
    </row>
    <row r="782" spans="1:11" x14ac:dyDescent="0.35">
      <c r="A782" s="73">
        <v>46116</v>
      </c>
      <c r="B782" t="s">
        <v>404</v>
      </c>
      <c r="C782" s="3">
        <v>250</v>
      </c>
      <c r="E782" s="3">
        <v>1142233.8700000001</v>
      </c>
      <c r="F782" t="str">
        <f>TEXT(Account_Data[[#This Row],[Date]],"mmm-yyyy")</f>
        <v>Apr-2026</v>
      </c>
      <c r="G782" t="str">
        <f>IF(Account_Data[[#This Row],[Credit]]&gt;0,"Income","Expense")</f>
        <v>Expense</v>
      </c>
      <c r="H7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2" s="3">
        <f>Account_Data[[#This Row],[Credit]]-Account_Data[[#This Row],[Debit]]</f>
        <v>-250</v>
      </c>
      <c r="J782" s="7">
        <f>EOMONTH(Account_Data[[#This Row],[Date]],0)</f>
        <v>46142</v>
      </c>
      <c r="K782">
        <f>ABS(Account_Data[[#This Row],[Amount]])</f>
        <v>250</v>
      </c>
    </row>
    <row r="783" spans="1:11" x14ac:dyDescent="0.35">
      <c r="A783" s="73">
        <v>46116</v>
      </c>
      <c r="B783" t="s">
        <v>405</v>
      </c>
      <c r="C783" s="3">
        <v>610</v>
      </c>
      <c r="E783" s="3">
        <v>1141623.8700000001</v>
      </c>
      <c r="F783" t="str">
        <f>TEXT(Account_Data[[#This Row],[Date]],"mmm-yyyy")</f>
        <v>Apr-2026</v>
      </c>
      <c r="G783" t="str">
        <f>IF(Account_Data[[#This Row],[Credit]]&gt;0,"Income","Expense")</f>
        <v>Expense</v>
      </c>
      <c r="H7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3" s="3">
        <f>Account_Data[[#This Row],[Credit]]-Account_Data[[#This Row],[Debit]]</f>
        <v>-610</v>
      </c>
      <c r="J783" s="7">
        <f>EOMONTH(Account_Data[[#This Row],[Date]],0)</f>
        <v>46142</v>
      </c>
      <c r="K783">
        <f>ABS(Account_Data[[#This Row],[Amount]])</f>
        <v>610</v>
      </c>
    </row>
    <row r="784" spans="1:11" x14ac:dyDescent="0.35">
      <c r="A784" s="73">
        <v>46116</v>
      </c>
      <c r="B784" t="s">
        <v>406</v>
      </c>
      <c r="C784" s="3">
        <v>250</v>
      </c>
      <c r="E784" s="3">
        <v>1141373.8700000001</v>
      </c>
      <c r="F784" t="str">
        <f>TEXT(Account_Data[[#This Row],[Date]],"mmm-yyyy")</f>
        <v>Apr-2026</v>
      </c>
      <c r="G784" t="str">
        <f>IF(Account_Data[[#This Row],[Credit]]&gt;0,"Income","Expense")</f>
        <v>Expense</v>
      </c>
      <c r="H7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4" s="3">
        <f>Account_Data[[#This Row],[Credit]]-Account_Data[[#This Row],[Debit]]</f>
        <v>-250</v>
      </c>
      <c r="J784" s="7">
        <f>EOMONTH(Account_Data[[#This Row],[Date]],0)</f>
        <v>46142</v>
      </c>
      <c r="K784">
        <f>ABS(Account_Data[[#This Row],[Amount]])</f>
        <v>250</v>
      </c>
    </row>
    <row r="785" spans="1:11" x14ac:dyDescent="0.35">
      <c r="A785" s="73">
        <v>46116</v>
      </c>
      <c r="B785" t="s">
        <v>407</v>
      </c>
      <c r="C785" s="3">
        <v>260</v>
      </c>
      <c r="E785" s="3">
        <v>1141113.8700000001</v>
      </c>
      <c r="F785" t="str">
        <f>TEXT(Account_Data[[#This Row],[Date]],"mmm-yyyy")</f>
        <v>Apr-2026</v>
      </c>
      <c r="G785" t="str">
        <f>IF(Account_Data[[#This Row],[Credit]]&gt;0,"Income","Expense")</f>
        <v>Expense</v>
      </c>
      <c r="H7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5" s="3">
        <f>Account_Data[[#This Row],[Credit]]-Account_Data[[#This Row],[Debit]]</f>
        <v>-260</v>
      </c>
      <c r="J785" s="7">
        <f>EOMONTH(Account_Data[[#This Row],[Date]],0)</f>
        <v>46142</v>
      </c>
      <c r="K785">
        <f>ABS(Account_Data[[#This Row],[Amount]])</f>
        <v>260</v>
      </c>
    </row>
    <row r="786" spans="1:11" x14ac:dyDescent="0.35">
      <c r="A786" s="73">
        <v>46116</v>
      </c>
      <c r="B786" t="s">
        <v>408</v>
      </c>
      <c r="C786" s="3">
        <v>30</v>
      </c>
      <c r="E786" s="3">
        <v>1141083.8700000001</v>
      </c>
      <c r="F786" t="str">
        <f>TEXT(Account_Data[[#This Row],[Date]],"mmm-yyyy")</f>
        <v>Apr-2026</v>
      </c>
      <c r="G786" t="str">
        <f>IF(Account_Data[[#This Row],[Credit]]&gt;0,"Income","Expense")</f>
        <v>Expense</v>
      </c>
      <c r="H7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6" s="3">
        <f>Account_Data[[#This Row],[Credit]]-Account_Data[[#This Row],[Debit]]</f>
        <v>-30</v>
      </c>
      <c r="J786" s="7">
        <f>EOMONTH(Account_Data[[#This Row],[Date]],0)</f>
        <v>46142</v>
      </c>
      <c r="K786">
        <f>ABS(Account_Data[[#This Row],[Amount]])</f>
        <v>30</v>
      </c>
    </row>
    <row r="787" spans="1:11" x14ac:dyDescent="0.35">
      <c r="A787" s="73">
        <v>46117</v>
      </c>
      <c r="B787" t="s">
        <v>409</v>
      </c>
      <c r="C787" s="3">
        <v>50</v>
      </c>
      <c r="E787" s="3">
        <v>1141033.8700000001</v>
      </c>
      <c r="F787" t="str">
        <f>TEXT(Account_Data[[#This Row],[Date]],"mmm-yyyy")</f>
        <v>Apr-2026</v>
      </c>
      <c r="G787" t="str">
        <f>IF(Account_Data[[#This Row],[Credit]]&gt;0,"Income","Expense")</f>
        <v>Expense</v>
      </c>
      <c r="H7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7" s="3">
        <f>Account_Data[[#This Row],[Credit]]-Account_Data[[#This Row],[Debit]]</f>
        <v>-50</v>
      </c>
      <c r="J787" s="7">
        <f>EOMONTH(Account_Data[[#This Row],[Date]],0)</f>
        <v>46142</v>
      </c>
      <c r="K787">
        <f>ABS(Account_Data[[#This Row],[Amount]])</f>
        <v>50</v>
      </c>
    </row>
    <row r="788" spans="1:11" x14ac:dyDescent="0.35">
      <c r="A788" s="73">
        <v>46117</v>
      </c>
      <c r="B788" t="s">
        <v>410</v>
      </c>
      <c r="C788" s="3">
        <v>387</v>
      </c>
      <c r="E788" s="3">
        <v>1140646.8700000001</v>
      </c>
      <c r="F788" t="str">
        <f>TEXT(Account_Data[[#This Row],[Date]],"mmm-yyyy")</f>
        <v>Apr-2026</v>
      </c>
      <c r="G788" t="str">
        <f>IF(Account_Data[[#This Row],[Credit]]&gt;0,"Income","Expense")</f>
        <v>Expense</v>
      </c>
      <c r="H7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8" s="3">
        <f>Account_Data[[#This Row],[Credit]]-Account_Data[[#This Row],[Debit]]</f>
        <v>-387</v>
      </c>
      <c r="J788" s="7">
        <f>EOMONTH(Account_Data[[#This Row],[Date]],0)</f>
        <v>46142</v>
      </c>
      <c r="K788">
        <f>ABS(Account_Data[[#This Row],[Amount]])</f>
        <v>387</v>
      </c>
    </row>
    <row r="789" spans="1:11" x14ac:dyDescent="0.35">
      <c r="A789" s="73">
        <v>46117</v>
      </c>
      <c r="B789" t="s">
        <v>411</v>
      </c>
      <c r="C789" s="3">
        <v>1048</v>
      </c>
      <c r="E789" s="3">
        <v>1139598.8700000001</v>
      </c>
      <c r="F789" t="str">
        <f>TEXT(Account_Data[[#This Row],[Date]],"mmm-yyyy")</f>
        <v>Apr-2026</v>
      </c>
      <c r="G789" t="str">
        <f>IF(Account_Data[[#This Row],[Credit]]&gt;0,"Income","Expense")</f>
        <v>Expense</v>
      </c>
      <c r="H7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89" s="3">
        <f>Account_Data[[#This Row],[Credit]]-Account_Data[[#This Row],[Debit]]</f>
        <v>-1048</v>
      </c>
      <c r="J789" s="7">
        <f>EOMONTH(Account_Data[[#This Row],[Date]],0)</f>
        <v>46142</v>
      </c>
      <c r="K789">
        <f>ABS(Account_Data[[#This Row],[Amount]])</f>
        <v>1048</v>
      </c>
    </row>
    <row r="790" spans="1:11" x14ac:dyDescent="0.35">
      <c r="A790" s="73">
        <v>46117</v>
      </c>
      <c r="B790" t="s">
        <v>412</v>
      </c>
      <c r="C790" s="3">
        <v>1000</v>
      </c>
      <c r="E790" s="3">
        <v>1138598.8700000001</v>
      </c>
      <c r="F790" t="str">
        <f>TEXT(Account_Data[[#This Row],[Date]],"mmm-yyyy")</f>
        <v>Apr-2026</v>
      </c>
      <c r="G790" t="str">
        <f>IF(Account_Data[[#This Row],[Credit]]&gt;0,"Income","Expense")</f>
        <v>Expense</v>
      </c>
      <c r="H7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0" s="3">
        <f>Account_Data[[#This Row],[Credit]]-Account_Data[[#This Row],[Debit]]</f>
        <v>-1000</v>
      </c>
      <c r="J790" s="7">
        <f>EOMONTH(Account_Data[[#This Row],[Date]],0)</f>
        <v>46142</v>
      </c>
      <c r="K790">
        <f>ABS(Account_Data[[#This Row],[Amount]])</f>
        <v>1000</v>
      </c>
    </row>
    <row r="791" spans="1:11" x14ac:dyDescent="0.35">
      <c r="A791" s="73">
        <v>46118</v>
      </c>
      <c r="B791" t="s">
        <v>139</v>
      </c>
      <c r="C791" s="3">
        <v>10000</v>
      </c>
      <c r="E791" s="3">
        <v>1128598.8700000001</v>
      </c>
      <c r="F791" t="str">
        <f>TEXT(Account_Data[[#This Row],[Date]],"mmm-yyyy")</f>
        <v>Apr-2026</v>
      </c>
      <c r="G791" t="str">
        <f>IF(Account_Data[[#This Row],[Credit]]&gt;0,"Income","Expense")</f>
        <v>Expense</v>
      </c>
      <c r="H7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791" s="3">
        <f>Account_Data[[#This Row],[Credit]]-Account_Data[[#This Row],[Debit]]</f>
        <v>-10000</v>
      </c>
      <c r="J791" s="7">
        <f>EOMONTH(Account_Data[[#This Row],[Date]],0)</f>
        <v>46142</v>
      </c>
      <c r="K791">
        <f>ABS(Account_Data[[#This Row],[Amount]])</f>
        <v>10000</v>
      </c>
    </row>
    <row r="792" spans="1:11" x14ac:dyDescent="0.35">
      <c r="A792" s="73">
        <v>46118</v>
      </c>
      <c r="B792" t="s">
        <v>413</v>
      </c>
      <c r="C792" s="3">
        <v>345</v>
      </c>
      <c r="E792" s="3">
        <v>1128253.8700000001</v>
      </c>
      <c r="F792" t="str">
        <f>TEXT(Account_Data[[#This Row],[Date]],"mmm-yyyy")</f>
        <v>Apr-2026</v>
      </c>
      <c r="G792" t="str">
        <f>IF(Account_Data[[#This Row],[Credit]]&gt;0,"Income","Expense")</f>
        <v>Expense</v>
      </c>
      <c r="H7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2" s="3">
        <f>Account_Data[[#This Row],[Credit]]-Account_Data[[#This Row],[Debit]]</f>
        <v>-345</v>
      </c>
      <c r="J792" s="7">
        <f>EOMONTH(Account_Data[[#This Row],[Date]],0)</f>
        <v>46142</v>
      </c>
      <c r="K792">
        <f>ABS(Account_Data[[#This Row],[Amount]])</f>
        <v>345</v>
      </c>
    </row>
    <row r="793" spans="1:11" x14ac:dyDescent="0.35">
      <c r="A793" s="73">
        <v>46118</v>
      </c>
      <c r="B793" t="s">
        <v>414</v>
      </c>
      <c r="C793" s="3">
        <v>25000</v>
      </c>
      <c r="E793" s="3">
        <v>1103253.8700000001</v>
      </c>
      <c r="F793" t="str">
        <f>TEXT(Account_Data[[#This Row],[Date]],"mmm-yyyy")</f>
        <v>Apr-2026</v>
      </c>
      <c r="G793" t="str">
        <f>IF(Account_Data[[#This Row],[Credit]]&gt;0,"Income","Expense")</f>
        <v>Expense</v>
      </c>
      <c r="H7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3" s="3">
        <f>Account_Data[[#This Row],[Credit]]-Account_Data[[#This Row],[Debit]]</f>
        <v>-25000</v>
      </c>
      <c r="J793" s="7">
        <f>EOMONTH(Account_Data[[#This Row],[Date]],0)</f>
        <v>46142</v>
      </c>
      <c r="K793">
        <f>ABS(Account_Data[[#This Row],[Amount]])</f>
        <v>25000</v>
      </c>
    </row>
    <row r="794" spans="1:11" x14ac:dyDescent="0.35">
      <c r="A794" s="73">
        <v>46118</v>
      </c>
      <c r="B794" t="s">
        <v>399</v>
      </c>
      <c r="C794" s="3">
        <v>15500</v>
      </c>
      <c r="E794" s="3">
        <v>1087753.8700000001</v>
      </c>
      <c r="F794" t="str">
        <f>TEXT(Account_Data[[#This Row],[Date]],"mmm-yyyy")</f>
        <v>Apr-2026</v>
      </c>
      <c r="G794" t="str">
        <f>IF(Account_Data[[#This Row],[Credit]]&gt;0,"Income","Expense")</f>
        <v>Expense</v>
      </c>
      <c r="H7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4" s="3">
        <f>Account_Data[[#This Row],[Credit]]-Account_Data[[#This Row],[Debit]]</f>
        <v>-15500</v>
      </c>
      <c r="J794" s="7">
        <f>EOMONTH(Account_Data[[#This Row],[Date]],0)</f>
        <v>46142</v>
      </c>
      <c r="K794">
        <f>ABS(Account_Data[[#This Row],[Amount]])</f>
        <v>15500</v>
      </c>
    </row>
    <row r="795" spans="1:11" x14ac:dyDescent="0.35">
      <c r="A795" s="73">
        <v>46118</v>
      </c>
      <c r="B795" t="s">
        <v>415</v>
      </c>
      <c r="C795" s="3">
        <v>5000</v>
      </c>
      <c r="E795" s="3">
        <v>1082753.8700000001</v>
      </c>
      <c r="F795" t="str">
        <f>TEXT(Account_Data[[#This Row],[Date]],"mmm-yyyy")</f>
        <v>Apr-2026</v>
      </c>
      <c r="G795" t="str">
        <f>IF(Account_Data[[#This Row],[Credit]]&gt;0,"Income","Expense")</f>
        <v>Expense</v>
      </c>
      <c r="H7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5" s="3">
        <f>Account_Data[[#This Row],[Credit]]-Account_Data[[#This Row],[Debit]]</f>
        <v>-5000</v>
      </c>
      <c r="J795" s="7">
        <f>EOMONTH(Account_Data[[#This Row],[Date]],0)</f>
        <v>46142</v>
      </c>
      <c r="K795">
        <f>ABS(Account_Data[[#This Row],[Amount]])</f>
        <v>5000</v>
      </c>
    </row>
    <row r="796" spans="1:11" x14ac:dyDescent="0.35">
      <c r="A796" s="73">
        <v>46119</v>
      </c>
      <c r="B796" t="s">
        <v>416</v>
      </c>
      <c r="C796" s="3">
        <v>350</v>
      </c>
      <c r="E796" s="3">
        <v>1082403.8700000001</v>
      </c>
      <c r="F796" t="str">
        <f>TEXT(Account_Data[[#This Row],[Date]],"mmm-yyyy")</f>
        <v>Apr-2026</v>
      </c>
      <c r="G796" t="str">
        <f>IF(Account_Data[[#This Row],[Credit]]&gt;0,"Income","Expense")</f>
        <v>Expense</v>
      </c>
      <c r="H7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6" s="3">
        <f>Account_Data[[#This Row],[Credit]]-Account_Data[[#This Row],[Debit]]</f>
        <v>-350</v>
      </c>
      <c r="J796" s="7">
        <f>EOMONTH(Account_Data[[#This Row],[Date]],0)</f>
        <v>46142</v>
      </c>
      <c r="K796">
        <f>ABS(Account_Data[[#This Row],[Amount]])</f>
        <v>350</v>
      </c>
    </row>
    <row r="797" spans="1:11" x14ac:dyDescent="0.35">
      <c r="A797" s="73">
        <v>46119</v>
      </c>
      <c r="B797" t="s">
        <v>417</v>
      </c>
      <c r="C797" s="3">
        <v>15</v>
      </c>
      <c r="E797" s="3">
        <v>1082388.8700000001</v>
      </c>
      <c r="F797" t="str">
        <f>TEXT(Account_Data[[#This Row],[Date]],"mmm-yyyy")</f>
        <v>Apr-2026</v>
      </c>
      <c r="G797" t="str">
        <f>IF(Account_Data[[#This Row],[Credit]]&gt;0,"Income","Expense")</f>
        <v>Expense</v>
      </c>
      <c r="H7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7" s="3">
        <f>Account_Data[[#This Row],[Credit]]-Account_Data[[#This Row],[Debit]]</f>
        <v>-15</v>
      </c>
      <c r="J797" s="7">
        <f>EOMONTH(Account_Data[[#This Row],[Date]],0)</f>
        <v>46142</v>
      </c>
      <c r="K797">
        <f>ABS(Account_Data[[#This Row],[Amount]])</f>
        <v>15</v>
      </c>
    </row>
    <row r="798" spans="1:11" x14ac:dyDescent="0.35">
      <c r="A798" s="73">
        <v>46119</v>
      </c>
      <c r="B798" t="s">
        <v>418</v>
      </c>
      <c r="C798" s="3">
        <v>595</v>
      </c>
      <c r="E798" s="3">
        <v>1081793.8700000001</v>
      </c>
      <c r="F798" t="str">
        <f>TEXT(Account_Data[[#This Row],[Date]],"mmm-yyyy")</f>
        <v>Apr-2026</v>
      </c>
      <c r="G798" t="str">
        <f>IF(Account_Data[[#This Row],[Credit]]&gt;0,"Income","Expense")</f>
        <v>Expense</v>
      </c>
      <c r="H7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8" s="3">
        <f>Account_Data[[#This Row],[Credit]]-Account_Data[[#This Row],[Debit]]</f>
        <v>-595</v>
      </c>
      <c r="J798" s="7">
        <f>EOMONTH(Account_Data[[#This Row],[Date]],0)</f>
        <v>46142</v>
      </c>
      <c r="K798">
        <f>ABS(Account_Data[[#This Row],[Amount]])</f>
        <v>595</v>
      </c>
    </row>
    <row r="799" spans="1:11" x14ac:dyDescent="0.35">
      <c r="A799" s="73">
        <v>46119</v>
      </c>
      <c r="B799" t="s">
        <v>419</v>
      </c>
      <c r="C799" s="3">
        <v>4429</v>
      </c>
      <c r="E799" s="3">
        <v>1077364.8700000001</v>
      </c>
      <c r="F799" t="str">
        <f>TEXT(Account_Data[[#This Row],[Date]],"mmm-yyyy")</f>
        <v>Apr-2026</v>
      </c>
      <c r="G799" t="str">
        <f>IF(Account_Data[[#This Row],[Credit]]&gt;0,"Income","Expense")</f>
        <v>Expense</v>
      </c>
      <c r="H7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799" s="3">
        <f>Account_Data[[#This Row],[Credit]]-Account_Data[[#This Row],[Debit]]</f>
        <v>-4429</v>
      </c>
      <c r="J799" s="7">
        <f>EOMONTH(Account_Data[[#This Row],[Date]],0)</f>
        <v>46142</v>
      </c>
      <c r="K799">
        <f>ABS(Account_Data[[#This Row],[Amount]])</f>
        <v>4429</v>
      </c>
    </row>
    <row r="800" spans="1:11" x14ac:dyDescent="0.35">
      <c r="A800" s="73">
        <v>46119</v>
      </c>
      <c r="B800" t="s">
        <v>420</v>
      </c>
      <c r="C800" s="3">
        <v>4583</v>
      </c>
      <c r="E800" s="3">
        <v>1072781.8700000001</v>
      </c>
      <c r="F800" t="str">
        <f>TEXT(Account_Data[[#This Row],[Date]],"mmm-yyyy")</f>
        <v>Apr-2026</v>
      </c>
      <c r="G800" t="str">
        <f>IF(Account_Data[[#This Row],[Credit]]&gt;0,"Income","Expense")</f>
        <v>Expense</v>
      </c>
      <c r="H8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0" s="3">
        <f>Account_Data[[#This Row],[Credit]]-Account_Data[[#This Row],[Debit]]</f>
        <v>-4583</v>
      </c>
      <c r="J800" s="7">
        <f>EOMONTH(Account_Data[[#This Row],[Date]],0)</f>
        <v>46142</v>
      </c>
      <c r="K800">
        <f>ABS(Account_Data[[#This Row],[Amount]])</f>
        <v>4583</v>
      </c>
    </row>
    <row r="801" spans="1:11" x14ac:dyDescent="0.35">
      <c r="A801" s="73">
        <v>46120</v>
      </c>
      <c r="B801" t="s">
        <v>421</v>
      </c>
      <c r="C801" s="3">
        <v>353</v>
      </c>
      <c r="E801" s="3">
        <v>1072428.8700000001</v>
      </c>
      <c r="F801" t="str">
        <f>TEXT(Account_Data[[#This Row],[Date]],"mmm-yyyy")</f>
        <v>Apr-2026</v>
      </c>
      <c r="G801" t="str">
        <f>IF(Account_Data[[#This Row],[Credit]]&gt;0,"Income","Expense")</f>
        <v>Expense</v>
      </c>
      <c r="H8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1" s="3">
        <f>Account_Data[[#This Row],[Credit]]-Account_Data[[#This Row],[Debit]]</f>
        <v>-353</v>
      </c>
      <c r="J801" s="7">
        <f>EOMONTH(Account_Data[[#This Row],[Date]],0)</f>
        <v>46142</v>
      </c>
      <c r="K801">
        <f>ABS(Account_Data[[#This Row],[Amount]])</f>
        <v>353</v>
      </c>
    </row>
    <row r="802" spans="1:11" x14ac:dyDescent="0.35">
      <c r="A802" s="73">
        <v>46120</v>
      </c>
      <c r="B802" t="s">
        <v>422</v>
      </c>
      <c r="C802" s="3">
        <v>320</v>
      </c>
      <c r="E802" s="3">
        <v>1072108.8700000001</v>
      </c>
      <c r="F802" t="str">
        <f>TEXT(Account_Data[[#This Row],[Date]],"mmm-yyyy")</f>
        <v>Apr-2026</v>
      </c>
      <c r="G802" t="str">
        <f>IF(Account_Data[[#This Row],[Credit]]&gt;0,"Income","Expense")</f>
        <v>Expense</v>
      </c>
      <c r="H8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2" s="3">
        <f>Account_Data[[#This Row],[Credit]]-Account_Data[[#This Row],[Debit]]</f>
        <v>-320</v>
      </c>
      <c r="J802" s="7">
        <f>EOMONTH(Account_Data[[#This Row],[Date]],0)</f>
        <v>46142</v>
      </c>
      <c r="K802">
        <f>ABS(Account_Data[[#This Row],[Amount]])</f>
        <v>320</v>
      </c>
    </row>
    <row r="803" spans="1:11" x14ac:dyDescent="0.35">
      <c r="A803" s="73">
        <v>46121</v>
      </c>
      <c r="B803" t="s">
        <v>423</v>
      </c>
      <c r="C803" s="3">
        <v>199</v>
      </c>
      <c r="E803" s="3">
        <v>1071909.8700000001</v>
      </c>
      <c r="F803" t="str">
        <f>TEXT(Account_Data[[#This Row],[Date]],"mmm-yyyy")</f>
        <v>Apr-2026</v>
      </c>
      <c r="G803" t="str">
        <f>IF(Account_Data[[#This Row],[Credit]]&gt;0,"Income","Expense")</f>
        <v>Expense</v>
      </c>
      <c r="H8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3" s="3">
        <f>Account_Data[[#This Row],[Credit]]-Account_Data[[#This Row],[Debit]]</f>
        <v>-199</v>
      </c>
      <c r="J803" s="7">
        <f>EOMONTH(Account_Data[[#This Row],[Date]],0)</f>
        <v>46142</v>
      </c>
      <c r="K803">
        <f>ABS(Account_Data[[#This Row],[Amount]])</f>
        <v>199</v>
      </c>
    </row>
    <row r="804" spans="1:11" x14ac:dyDescent="0.35">
      <c r="A804" s="73">
        <v>46122</v>
      </c>
      <c r="B804" t="s">
        <v>424</v>
      </c>
      <c r="C804" s="3">
        <v>424</v>
      </c>
      <c r="E804" s="3">
        <v>1071485.8700000001</v>
      </c>
      <c r="F804" t="str">
        <f>TEXT(Account_Data[[#This Row],[Date]],"mmm-yyyy")</f>
        <v>Apr-2026</v>
      </c>
      <c r="G804" t="str">
        <f>IF(Account_Data[[#This Row],[Credit]]&gt;0,"Income","Expense")</f>
        <v>Expense</v>
      </c>
      <c r="H8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4" s="3">
        <f>Account_Data[[#This Row],[Credit]]-Account_Data[[#This Row],[Debit]]</f>
        <v>-424</v>
      </c>
      <c r="J804" s="7">
        <f>EOMONTH(Account_Data[[#This Row],[Date]],0)</f>
        <v>46142</v>
      </c>
      <c r="K804">
        <f>ABS(Account_Data[[#This Row],[Amount]])</f>
        <v>424</v>
      </c>
    </row>
    <row r="805" spans="1:11" x14ac:dyDescent="0.35">
      <c r="A805" s="73">
        <v>46122</v>
      </c>
      <c r="B805" t="s">
        <v>425</v>
      </c>
      <c r="C805" s="3">
        <v>18500</v>
      </c>
      <c r="E805" s="3">
        <v>1052985.8700000001</v>
      </c>
      <c r="F805" t="str">
        <f>TEXT(Account_Data[[#This Row],[Date]],"mmm-yyyy")</f>
        <v>Apr-2026</v>
      </c>
      <c r="G805" t="str">
        <f>IF(Account_Data[[#This Row],[Credit]]&gt;0,"Income","Expense")</f>
        <v>Expense</v>
      </c>
      <c r="H8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805" s="3">
        <f>Account_Data[[#This Row],[Credit]]-Account_Data[[#This Row],[Debit]]</f>
        <v>-18500</v>
      </c>
      <c r="J805" s="7">
        <f>EOMONTH(Account_Data[[#This Row],[Date]],0)</f>
        <v>46142</v>
      </c>
      <c r="K805">
        <f>ABS(Account_Data[[#This Row],[Amount]])</f>
        <v>18500</v>
      </c>
    </row>
    <row r="806" spans="1:11" x14ac:dyDescent="0.35">
      <c r="A806" s="73">
        <v>46122</v>
      </c>
      <c r="B806" t="s">
        <v>426</v>
      </c>
      <c r="C806" s="3">
        <v>2000</v>
      </c>
      <c r="E806" s="3">
        <v>1050985.8700000001</v>
      </c>
      <c r="F806" t="str">
        <f>TEXT(Account_Data[[#This Row],[Date]],"mmm-yyyy")</f>
        <v>Apr-2026</v>
      </c>
      <c r="G806" t="str">
        <f>IF(Account_Data[[#This Row],[Credit]]&gt;0,"Income","Expense")</f>
        <v>Expense</v>
      </c>
      <c r="H8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6" s="3">
        <f>Account_Data[[#This Row],[Credit]]-Account_Data[[#This Row],[Debit]]</f>
        <v>-2000</v>
      </c>
      <c r="J806" s="7">
        <f>EOMONTH(Account_Data[[#This Row],[Date]],0)</f>
        <v>46142</v>
      </c>
      <c r="K806">
        <f>ABS(Account_Data[[#This Row],[Amount]])</f>
        <v>2000</v>
      </c>
    </row>
    <row r="807" spans="1:11" x14ac:dyDescent="0.35">
      <c r="A807" s="73">
        <v>46122</v>
      </c>
      <c r="B807" t="s">
        <v>142</v>
      </c>
      <c r="D807" s="3">
        <v>1</v>
      </c>
      <c r="E807" s="3">
        <v>1050986.8700000001</v>
      </c>
      <c r="F807" t="str">
        <f>TEXT(Account_Data[[#This Row],[Date]],"mmm-yyyy")</f>
        <v>Apr-2026</v>
      </c>
      <c r="G807" t="str">
        <f>IF(Account_Data[[#This Row],[Credit]]&gt;0,"Income","Expense")</f>
        <v>Income</v>
      </c>
      <c r="H8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7" s="3">
        <f>Account_Data[[#This Row],[Credit]]-Account_Data[[#This Row],[Debit]]</f>
        <v>1</v>
      </c>
      <c r="J807" s="7">
        <f>EOMONTH(Account_Data[[#This Row],[Date]],0)</f>
        <v>46142</v>
      </c>
      <c r="K807">
        <f>ABS(Account_Data[[#This Row],[Amount]])</f>
        <v>1</v>
      </c>
    </row>
    <row r="808" spans="1:11" x14ac:dyDescent="0.35">
      <c r="A808" s="73">
        <v>46122</v>
      </c>
      <c r="B808" t="s">
        <v>142</v>
      </c>
      <c r="D808" s="3">
        <v>4430</v>
      </c>
      <c r="E808" s="3">
        <v>1055416.8700000001</v>
      </c>
      <c r="F808" t="str">
        <f>TEXT(Account_Data[[#This Row],[Date]],"mmm-yyyy")</f>
        <v>Apr-2026</v>
      </c>
      <c r="G808" t="str">
        <f>IF(Account_Data[[#This Row],[Credit]]&gt;0,"Income","Expense")</f>
        <v>Income</v>
      </c>
      <c r="H8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8" s="3">
        <f>Account_Data[[#This Row],[Credit]]-Account_Data[[#This Row],[Debit]]</f>
        <v>4430</v>
      </c>
      <c r="J808" s="7">
        <f>EOMONTH(Account_Data[[#This Row],[Date]],0)</f>
        <v>46142</v>
      </c>
      <c r="K808">
        <f>ABS(Account_Data[[#This Row],[Amount]])</f>
        <v>4430</v>
      </c>
    </row>
    <row r="809" spans="1:11" x14ac:dyDescent="0.35">
      <c r="A809" s="73">
        <v>46122</v>
      </c>
      <c r="B809" t="s">
        <v>427</v>
      </c>
      <c r="C809" s="3">
        <v>200</v>
      </c>
      <c r="E809" s="3">
        <v>1055216.8700000001</v>
      </c>
      <c r="F809" t="str">
        <f>TEXT(Account_Data[[#This Row],[Date]],"mmm-yyyy")</f>
        <v>Apr-2026</v>
      </c>
      <c r="G809" t="str">
        <f>IF(Account_Data[[#This Row],[Credit]]&gt;0,"Income","Expense")</f>
        <v>Expense</v>
      </c>
      <c r="H8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09" s="3">
        <f>Account_Data[[#This Row],[Credit]]-Account_Data[[#This Row],[Debit]]</f>
        <v>-200</v>
      </c>
      <c r="J809" s="7">
        <f>EOMONTH(Account_Data[[#This Row],[Date]],0)</f>
        <v>46142</v>
      </c>
      <c r="K809">
        <f>ABS(Account_Data[[#This Row],[Amount]])</f>
        <v>200</v>
      </c>
    </row>
    <row r="810" spans="1:11" x14ac:dyDescent="0.35">
      <c r="A810" s="73">
        <v>46124</v>
      </c>
      <c r="B810" t="s">
        <v>428</v>
      </c>
      <c r="C810" s="3">
        <v>4000</v>
      </c>
      <c r="E810" s="3">
        <v>1051216.8700000001</v>
      </c>
      <c r="F810" t="str">
        <f>TEXT(Account_Data[[#This Row],[Date]],"mmm-yyyy")</f>
        <v>Apr-2026</v>
      </c>
      <c r="G810" t="str">
        <f>IF(Account_Data[[#This Row],[Credit]]&gt;0,"Income","Expense")</f>
        <v>Expense</v>
      </c>
      <c r="H81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0" s="3">
        <f>Account_Data[[#This Row],[Credit]]-Account_Data[[#This Row],[Debit]]</f>
        <v>-4000</v>
      </c>
      <c r="J810" s="7">
        <f>EOMONTH(Account_Data[[#This Row],[Date]],0)</f>
        <v>46142</v>
      </c>
      <c r="K810">
        <f>ABS(Account_Data[[#This Row],[Amount]])</f>
        <v>4000</v>
      </c>
    </row>
    <row r="811" spans="1:11" x14ac:dyDescent="0.35">
      <c r="A811" s="73">
        <v>46124</v>
      </c>
      <c r="B811" t="s">
        <v>404</v>
      </c>
      <c r="C811" s="3">
        <v>200</v>
      </c>
      <c r="E811" s="3">
        <v>1051016.8700000001</v>
      </c>
      <c r="F811" t="str">
        <f>TEXT(Account_Data[[#This Row],[Date]],"mmm-yyyy")</f>
        <v>Apr-2026</v>
      </c>
      <c r="G811" t="str">
        <f>IF(Account_Data[[#This Row],[Credit]]&gt;0,"Income","Expense")</f>
        <v>Expense</v>
      </c>
      <c r="H81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1" s="3">
        <f>Account_Data[[#This Row],[Credit]]-Account_Data[[#This Row],[Debit]]</f>
        <v>-200</v>
      </c>
      <c r="J811" s="7">
        <f>EOMONTH(Account_Data[[#This Row],[Date]],0)</f>
        <v>46142</v>
      </c>
      <c r="K811">
        <f>ABS(Account_Data[[#This Row],[Amount]])</f>
        <v>200</v>
      </c>
    </row>
    <row r="812" spans="1:11" x14ac:dyDescent="0.35">
      <c r="A812" s="73">
        <v>46125</v>
      </c>
      <c r="B812" t="s">
        <v>429</v>
      </c>
      <c r="C812" s="3">
        <v>70</v>
      </c>
      <c r="E812" s="3">
        <v>1050946.8700000001</v>
      </c>
      <c r="F812" t="str">
        <f>TEXT(Account_Data[[#This Row],[Date]],"mmm-yyyy")</f>
        <v>Apr-2026</v>
      </c>
      <c r="G812" t="str">
        <f>IF(Account_Data[[#This Row],[Credit]]&gt;0,"Income","Expense")</f>
        <v>Expense</v>
      </c>
      <c r="H81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2" s="3">
        <f>Account_Data[[#This Row],[Credit]]-Account_Data[[#This Row],[Debit]]</f>
        <v>-70</v>
      </c>
      <c r="J812" s="7">
        <f>EOMONTH(Account_Data[[#This Row],[Date]],0)</f>
        <v>46142</v>
      </c>
      <c r="K812">
        <f>ABS(Account_Data[[#This Row],[Amount]])</f>
        <v>70</v>
      </c>
    </row>
    <row r="813" spans="1:11" x14ac:dyDescent="0.35">
      <c r="A813" s="73">
        <v>46125</v>
      </c>
      <c r="B813" t="s">
        <v>430</v>
      </c>
      <c r="C813" s="3">
        <v>250</v>
      </c>
      <c r="E813" s="3">
        <v>1050696.8700000001</v>
      </c>
      <c r="F813" t="str">
        <f>TEXT(Account_Data[[#This Row],[Date]],"mmm-yyyy")</f>
        <v>Apr-2026</v>
      </c>
      <c r="G813" t="str">
        <f>IF(Account_Data[[#This Row],[Credit]]&gt;0,"Income","Expense")</f>
        <v>Expense</v>
      </c>
      <c r="H81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3" s="3">
        <f>Account_Data[[#This Row],[Credit]]-Account_Data[[#This Row],[Debit]]</f>
        <v>-250</v>
      </c>
      <c r="J813" s="7">
        <f>EOMONTH(Account_Data[[#This Row],[Date]],0)</f>
        <v>46142</v>
      </c>
      <c r="K813">
        <f>ABS(Account_Data[[#This Row],[Amount]])</f>
        <v>250</v>
      </c>
    </row>
    <row r="814" spans="1:11" x14ac:dyDescent="0.35">
      <c r="A814" s="73">
        <v>46125</v>
      </c>
      <c r="B814" t="s">
        <v>431</v>
      </c>
      <c r="C814" s="3">
        <v>2950</v>
      </c>
      <c r="E814" s="3">
        <v>1047746.87</v>
      </c>
      <c r="F814" t="str">
        <f>TEXT(Account_Data[[#This Row],[Date]],"mmm-yyyy")</f>
        <v>Apr-2026</v>
      </c>
      <c r="G814" t="str">
        <f>IF(Account_Data[[#This Row],[Credit]]&gt;0,"Income","Expense")</f>
        <v>Expense</v>
      </c>
      <c r="H81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4" s="3">
        <f>Account_Data[[#This Row],[Credit]]-Account_Data[[#This Row],[Debit]]</f>
        <v>-2950</v>
      </c>
      <c r="J814" s="7">
        <f>EOMONTH(Account_Data[[#This Row],[Date]],0)</f>
        <v>46142</v>
      </c>
      <c r="K814">
        <f>ABS(Account_Data[[#This Row],[Amount]])</f>
        <v>2950</v>
      </c>
    </row>
    <row r="815" spans="1:11" x14ac:dyDescent="0.35">
      <c r="A815" s="73">
        <v>46125</v>
      </c>
      <c r="B815" t="s">
        <v>432</v>
      </c>
      <c r="C815" s="3">
        <v>46800</v>
      </c>
      <c r="E815" s="3">
        <v>1000946.87</v>
      </c>
      <c r="F815" t="str">
        <f>TEXT(Account_Data[[#This Row],[Date]],"mmm-yyyy")</f>
        <v>Apr-2026</v>
      </c>
      <c r="G815" t="str">
        <f>IF(Account_Data[[#This Row],[Credit]]&gt;0,"Income","Expense")</f>
        <v>Expense</v>
      </c>
      <c r="H81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5" s="3">
        <f>Account_Data[[#This Row],[Credit]]-Account_Data[[#This Row],[Debit]]</f>
        <v>-46800</v>
      </c>
      <c r="J815" s="7">
        <f>EOMONTH(Account_Data[[#This Row],[Date]],0)</f>
        <v>46142</v>
      </c>
      <c r="K815">
        <f>ABS(Account_Data[[#This Row],[Amount]])</f>
        <v>46800</v>
      </c>
    </row>
    <row r="816" spans="1:11" x14ac:dyDescent="0.35">
      <c r="A816" s="73">
        <v>46125</v>
      </c>
      <c r="B816" t="s">
        <v>415</v>
      </c>
      <c r="C816" s="3">
        <v>5000</v>
      </c>
      <c r="E816" s="3">
        <v>995946.87</v>
      </c>
      <c r="F816" t="str">
        <f>TEXT(Account_Data[[#This Row],[Date]],"mmm-yyyy")</f>
        <v>Apr-2026</v>
      </c>
      <c r="G816" t="str">
        <f>IF(Account_Data[[#This Row],[Credit]]&gt;0,"Income","Expense")</f>
        <v>Expense</v>
      </c>
      <c r="H81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6" s="3">
        <f>Account_Data[[#This Row],[Credit]]-Account_Data[[#This Row],[Debit]]</f>
        <v>-5000</v>
      </c>
      <c r="J816" s="7">
        <f>EOMONTH(Account_Data[[#This Row],[Date]],0)</f>
        <v>46142</v>
      </c>
      <c r="K816">
        <f>ABS(Account_Data[[#This Row],[Amount]])</f>
        <v>5000</v>
      </c>
    </row>
    <row r="817" spans="1:11" x14ac:dyDescent="0.35">
      <c r="A817" s="73">
        <v>46125</v>
      </c>
      <c r="B817" t="s">
        <v>433</v>
      </c>
      <c r="C817" s="3">
        <v>350</v>
      </c>
      <c r="E817" s="3">
        <v>995596.87</v>
      </c>
      <c r="F817" t="str">
        <f>TEXT(Account_Data[[#This Row],[Date]],"mmm-yyyy")</f>
        <v>Apr-2026</v>
      </c>
      <c r="G817" t="str">
        <f>IF(Account_Data[[#This Row],[Credit]]&gt;0,"Income","Expense")</f>
        <v>Expense</v>
      </c>
      <c r="H81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7" s="3">
        <f>Account_Data[[#This Row],[Credit]]-Account_Data[[#This Row],[Debit]]</f>
        <v>-350</v>
      </c>
      <c r="J817" s="7">
        <f>EOMONTH(Account_Data[[#This Row],[Date]],0)</f>
        <v>46142</v>
      </c>
      <c r="K817">
        <f>ABS(Account_Data[[#This Row],[Amount]])</f>
        <v>350</v>
      </c>
    </row>
    <row r="818" spans="1:11" x14ac:dyDescent="0.35">
      <c r="A818" s="73">
        <v>46125</v>
      </c>
      <c r="B818" t="s">
        <v>434</v>
      </c>
      <c r="C818" s="3">
        <v>130</v>
      </c>
      <c r="E818" s="3">
        <v>995466.87</v>
      </c>
      <c r="F818" t="str">
        <f>TEXT(Account_Data[[#This Row],[Date]],"mmm-yyyy")</f>
        <v>Apr-2026</v>
      </c>
      <c r="G818" t="str">
        <f>IF(Account_Data[[#This Row],[Credit]]&gt;0,"Income","Expense")</f>
        <v>Expense</v>
      </c>
      <c r="H81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8" s="3">
        <f>Account_Data[[#This Row],[Credit]]-Account_Data[[#This Row],[Debit]]</f>
        <v>-130</v>
      </c>
      <c r="J818" s="7">
        <f>EOMONTH(Account_Data[[#This Row],[Date]],0)</f>
        <v>46142</v>
      </c>
      <c r="K818">
        <f>ABS(Account_Data[[#This Row],[Amount]])</f>
        <v>130</v>
      </c>
    </row>
    <row r="819" spans="1:11" x14ac:dyDescent="0.35">
      <c r="A819" s="73">
        <v>46125</v>
      </c>
      <c r="B819" t="s">
        <v>435</v>
      </c>
      <c r="C819" s="3">
        <v>4335</v>
      </c>
      <c r="E819" s="3">
        <v>991131.87</v>
      </c>
      <c r="F819" t="str">
        <f>TEXT(Account_Data[[#This Row],[Date]],"mmm-yyyy")</f>
        <v>Apr-2026</v>
      </c>
      <c r="G819" t="str">
        <f>IF(Account_Data[[#This Row],[Credit]]&gt;0,"Income","Expense")</f>
        <v>Expense</v>
      </c>
      <c r="H81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19" s="3">
        <f>Account_Data[[#This Row],[Credit]]-Account_Data[[#This Row],[Debit]]</f>
        <v>-4335</v>
      </c>
      <c r="J819" s="7">
        <f>EOMONTH(Account_Data[[#This Row],[Date]],0)</f>
        <v>46142</v>
      </c>
      <c r="K819">
        <f>ABS(Account_Data[[#This Row],[Amount]])</f>
        <v>4335</v>
      </c>
    </row>
    <row r="820" spans="1:11" x14ac:dyDescent="0.35">
      <c r="A820" s="73">
        <v>46126</v>
      </c>
      <c r="B820" t="s">
        <v>403</v>
      </c>
      <c r="C820" s="3">
        <v>1060</v>
      </c>
      <c r="E820" s="3">
        <v>990071.87</v>
      </c>
      <c r="F820" t="str">
        <f>TEXT(Account_Data[[#This Row],[Date]],"mmm-yyyy")</f>
        <v>Apr-2026</v>
      </c>
      <c r="G820" t="str">
        <f>IF(Account_Data[[#This Row],[Credit]]&gt;0,"Income","Expense")</f>
        <v>Expense</v>
      </c>
      <c r="H82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0" s="3">
        <f>Account_Data[[#This Row],[Credit]]-Account_Data[[#This Row],[Debit]]</f>
        <v>-1060</v>
      </c>
      <c r="J820" s="7">
        <f>EOMONTH(Account_Data[[#This Row],[Date]],0)</f>
        <v>46142</v>
      </c>
      <c r="K820">
        <f>ABS(Account_Data[[#This Row],[Amount]])</f>
        <v>1060</v>
      </c>
    </row>
    <row r="821" spans="1:11" x14ac:dyDescent="0.35">
      <c r="A821" s="73">
        <v>46126</v>
      </c>
      <c r="B821" t="s">
        <v>410</v>
      </c>
      <c r="C821" s="3">
        <v>268</v>
      </c>
      <c r="E821" s="3">
        <v>989803.87</v>
      </c>
      <c r="F821" t="str">
        <f>TEXT(Account_Data[[#This Row],[Date]],"mmm-yyyy")</f>
        <v>Apr-2026</v>
      </c>
      <c r="G821" t="str">
        <f>IF(Account_Data[[#This Row],[Credit]]&gt;0,"Income","Expense")</f>
        <v>Expense</v>
      </c>
      <c r="H82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1" s="3">
        <f>Account_Data[[#This Row],[Credit]]-Account_Data[[#This Row],[Debit]]</f>
        <v>-268</v>
      </c>
      <c r="J821" s="7">
        <f>EOMONTH(Account_Data[[#This Row],[Date]],0)</f>
        <v>46142</v>
      </c>
      <c r="K821">
        <f>ABS(Account_Data[[#This Row],[Amount]])</f>
        <v>268</v>
      </c>
    </row>
    <row r="822" spans="1:11" x14ac:dyDescent="0.35">
      <c r="A822" s="73">
        <v>46126</v>
      </c>
      <c r="B822" t="s">
        <v>436</v>
      </c>
      <c r="C822" s="3">
        <v>1900</v>
      </c>
      <c r="E822" s="3">
        <v>987903.87</v>
      </c>
      <c r="F822" t="str">
        <f>TEXT(Account_Data[[#This Row],[Date]],"mmm-yyyy")</f>
        <v>Apr-2026</v>
      </c>
      <c r="G822" t="str">
        <f>IF(Account_Data[[#This Row],[Credit]]&gt;0,"Income","Expense")</f>
        <v>Expense</v>
      </c>
      <c r="H82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2" s="3">
        <f>Account_Data[[#This Row],[Credit]]-Account_Data[[#This Row],[Debit]]</f>
        <v>-1900</v>
      </c>
      <c r="J822" s="7">
        <f>EOMONTH(Account_Data[[#This Row],[Date]],0)</f>
        <v>46142</v>
      </c>
      <c r="K822">
        <f>ABS(Account_Data[[#This Row],[Amount]])</f>
        <v>1900</v>
      </c>
    </row>
    <row r="823" spans="1:11" x14ac:dyDescent="0.35">
      <c r="A823" s="73">
        <v>46126</v>
      </c>
      <c r="B823" t="s">
        <v>437</v>
      </c>
      <c r="C823" s="3">
        <v>1500</v>
      </c>
      <c r="E823" s="3">
        <v>986403.87</v>
      </c>
      <c r="F823" t="str">
        <f>TEXT(Account_Data[[#This Row],[Date]],"mmm-yyyy")</f>
        <v>Apr-2026</v>
      </c>
      <c r="G823" t="str">
        <f>IF(Account_Data[[#This Row],[Credit]]&gt;0,"Income","Expense")</f>
        <v>Expense</v>
      </c>
      <c r="H82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3" s="3">
        <f>Account_Data[[#This Row],[Credit]]-Account_Data[[#This Row],[Debit]]</f>
        <v>-1500</v>
      </c>
      <c r="J823" s="7">
        <f>EOMONTH(Account_Data[[#This Row],[Date]],0)</f>
        <v>46142</v>
      </c>
      <c r="K823">
        <f>ABS(Account_Data[[#This Row],[Amount]])</f>
        <v>1500</v>
      </c>
    </row>
    <row r="824" spans="1:11" x14ac:dyDescent="0.35">
      <c r="A824" s="73">
        <v>46127</v>
      </c>
      <c r="B824" t="s">
        <v>438</v>
      </c>
      <c r="C824" s="3">
        <v>510</v>
      </c>
      <c r="E824" s="3">
        <v>985893.87</v>
      </c>
      <c r="F824" t="str">
        <f>TEXT(Account_Data[[#This Row],[Date]],"mmm-yyyy")</f>
        <v>Apr-2026</v>
      </c>
      <c r="G824" t="str">
        <f>IF(Account_Data[[#This Row],[Credit]]&gt;0,"Income","Expense")</f>
        <v>Expense</v>
      </c>
      <c r="H82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4" s="3">
        <f>Account_Data[[#This Row],[Credit]]-Account_Data[[#This Row],[Debit]]</f>
        <v>-510</v>
      </c>
      <c r="J824" s="7">
        <f>EOMONTH(Account_Data[[#This Row],[Date]],0)</f>
        <v>46142</v>
      </c>
      <c r="K824">
        <f>ABS(Account_Data[[#This Row],[Amount]])</f>
        <v>510</v>
      </c>
    </row>
    <row r="825" spans="1:11" x14ac:dyDescent="0.35">
      <c r="A825" s="73">
        <v>46127</v>
      </c>
      <c r="B825" t="s">
        <v>439</v>
      </c>
      <c r="C825" s="3">
        <v>4000</v>
      </c>
      <c r="E825" s="3">
        <v>981893.87</v>
      </c>
      <c r="F825" t="str">
        <f>TEXT(Account_Data[[#This Row],[Date]],"mmm-yyyy")</f>
        <v>Apr-2026</v>
      </c>
      <c r="G825" t="str">
        <f>IF(Account_Data[[#This Row],[Credit]]&gt;0,"Income","Expense")</f>
        <v>Expense</v>
      </c>
      <c r="H82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5" s="3">
        <f>Account_Data[[#This Row],[Credit]]-Account_Data[[#This Row],[Debit]]</f>
        <v>-4000</v>
      </c>
      <c r="J825" s="7">
        <f>EOMONTH(Account_Data[[#This Row],[Date]],0)</f>
        <v>46142</v>
      </c>
      <c r="K825">
        <f>ABS(Account_Data[[#This Row],[Amount]])</f>
        <v>4000</v>
      </c>
    </row>
    <row r="826" spans="1:11" x14ac:dyDescent="0.35">
      <c r="A826" s="73">
        <v>46127</v>
      </c>
      <c r="B826" t="s">
        <v>439</v>
      </c>
      <c r="C826" s="3">
        <v>1000</v>
      </c>
      <c r="E826" s="3">
        <v>980893.87</v>
      </c>
      <c r="F826" t="str">
        <f>TEXT(Account_Data[[#This Row],[Date]],"mmm-yyyy")</f>
        <v>Apr-2026</v>
      </c>
      <c r="G826" t="str">
        <f>IF(Account_Data[[#This Row],[Credit]]&gt;0,"Income","Expense")</f>
        <v>Expense</v>
      </c>
      <c r="H82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6" s="3">
        <f>Account_Data[[#This Row],[Credit]]-Account_Data[[#This Row],[Debit]]</f>
        <v>-1000</v>
      </c>
      <c r="J826" s="7">
        <f>EOMONTH(Account_Data[[#This Row],[Date]],0)</f>
        <v>46142</v>
      </c>
      <c r="K826">
        <f>ABS(Account_Data[[#This Row],[Amount]])</f>
        <v>1000</v>
      </c>
    </row>
    <row r="827" spans="1:11" x14ac:dyDescent="0.35">
      <c r="A827" s="73">
        <v>46127</v>
      </c>
      <c r="B827" t="s">
        <v>440</v>
      </c>
      <c r="C827" s="3">
        <v>460</v>
      </c>
      <c r="E827" s="3">
        <v>980433.87</v>
      </c>
      <c r="F827" t="str">
        <f>TEXT(Account_Data[[#This Row],[Date]],"mmm-yyyy")</f>
        <v>Apr-2026</v>
      </c>
      <c r="G827" t="str">
        <f>IF(Account_Data[[#This Row],[Credit]]&gt;0,"Income","Expense")</f>
        <v>Expense</v>
      </c>
      <c r="H82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7" s="3">
        <f>Account_Data[[#This Row],[Credit]]-Account_Data[[#This Row],[Debit]]</f>
        <v>-460</v>
      </c>
      <c r="J827" s="7">
        <f>EOMONTH(Account_Data[[#This Row],[Date]],0)</f>
        <v>46142</v>
      </c>
      <c r="K827">
        <f>ABS(Account_Data[[#This Row],[Amount]])</f>
        <v>460</v>
      </c>
    </row>
    <row r="828" spans="1:11" x14ac:dyDescent="0.35">
      <c r="A828" s="73">
        <v>46127</v>
      </c>
      <c r="B828" t="s">
        <v>441</v>
      </c>
      <c r="C828" s="3">
        <v>16500</v>
      </c>
      <c r="E828" s="3">
        <v>963933.87</v>
      </c>
      <c r="F828" t="str">
        <f>TEXT(Account_Data[[#This Row],[Date]],"mmm-yyyy")</f>
        <v>Apr-2026</v>
      </c>
      <c r="G828" t="str">
        <f>IF(Account_Data[[#This Row],[Credit]]&gt;0,"Income","Expense")</f>
        <v>Expense</v>
      </c>
      <c r="H82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8" s="3">
        <f>Account_Data[[#This Row],[Credit]]-Account_Data[[#This Row],[Debit]]</f>
        <v>-16500</v>
      </c>
      <c r="J828" s="7">
        <f>EOMONTH(Account_Data[[#This Row],[Date]],0)</f>
        <v>46142</v>
      </c>
      <c r="K828">
        <f>ABS(Account_Data[[#This Row],[Amount]])</f>
        <v>16500</v>
      </c>
    </row>
    <row r="829" spans="1:11" x14ac:dyDescent="0.35">
      <c r="A829" s="73">
        <v>46127</v>
      </c>
      <c r="B829" t="s">
        <v>442</v>
      </c>
      <c r="C829" s="3">
        <v>200</v>
      </c>
      <c r="E829" s="3">
        <v>963733.87</v>
      </c>
      <c r="F829" t="str">
        <f>TEXT(Account_Data[[#This Row],[Date]],"mmm-yyyy")</f>
        <v>Apr-2026</v>
      </c>
      <c r="G829" t="str">
        <f>IF(Account_Data[[#This Row],[Credit]]&gt;0,"Income","Expense")</f>
        <v>Expense</v>
      </c>
      <c r="H82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29" s="3">
        <f>Account_Data[[#This Row],[Credit]]-Account_Data[[#This Row],[Debit]]</f>
        <v>-200</v>
      </c>
      <c r="J829" s="7">
        <f>EOMONTH(Account_Data[[#This Row],[Date]],0)</f>
        <v>46142</v>
      </c>
      <c r="K829">
        <f>ABS(Account_Data[[#This Row],[Amount]])</f>
        <v>200</v>
      </c>
    </row>
    <row r="830" spans="1:11" x14ac:dyDescent="0.35">
      <c r="A830" s="73">
        <v>46128</v>
      </c>
      <c r="B830" t="s">
        <v>425</v>
      </c>
      <c r="C830" s="3">
        <v>9000</v>
      </c>
      <c r="E830" s="3">
        <v>954733.87</v>
      </c>
      <c r="F830" t="str">
        <f>TEXT(Account_Data[[#This Row],[Date]],"mmm-yyyy")</f>
        <v>Apr-2026</v>
      </c>
      <c r="G830" t="str">
        <f>IF(Account_Data[[#This Row],[Credit]]&gt;0,"Income","Expense")</f>
        <v>Expense</v>
      </c>
      <c r="H83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830" s="3">
        <f>Account_Data[[#This Row],[Credit]]-Account_Data[[#This Row],[Debit]]</f>
        <v>-9000</v>
      </c>
      <c r="J830" s="7">
        <f>EOMONTH(Account_Data[[#This Row],[Date]],0)</f>
        <v>46142</v>
      </c>
      <c r="K830">
        <f>ABS(Account_Data[[#This Row],[Amount]])</f>
        <v>9000</v>
      </c>
    </row>
    <row r="831" spans="1:11" x14ac:dyDescent="0.35">
      <c r="A831" s="73">
        <v>46128</v>
      </c>
      <c r="B831" t="s">
        <v>443</v>
      </c>
      <c r="D831" s="3">
        <v>9000</v>
      </c>
      <c r="E831" s="3">
        <v>963733.87</v>
      </c>
      <c r="F831" t="str">
        <f>TEXT(Account_Data[[#This Row],[Date]],"mmm-yyyy")</f>
        <v>Apr-2026</v>
      </c>
      <c r="G831" t="str">
        <f>IF(Account_Data[[#This Row],[Credit]]&gt;0,"Income","Expense")</f>
        <v>Income</v>
      </c>
      <c r="H83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831" s="3">
        <f>Account_Data[[#This Row],[Credit]]-Account_Data[[#This Row],[Debit]]</f>
        <v>9000</v>
      </c>
      <c r="J831" s="7">
        <f>EOMONTH(Account_Data[[#This Row],[Date]],0)</f>
        <v>46142</v>
      </c>
      <c r="K831">
        <f>ABS(Account_Data[[#This Row],[Amount]])</f>
        <v>9000</v>
      </c>
    </row>
    <row r="832" spans="1:11" x14ac:dyDescent="0.35">
      <c r="A832" s="73">
        <v>46128</v>
      </c>
      <c r="B832" t="s">
        <v>444</v>
      </c>
      <c r="C832" s="3">
        <v>9000</v>
      </c>
      <c r="E832" s="3">
        <v>954733.87</v>
      </c>
      <c r="F832" t="str">
        <f>TEXT(Account_Data[[#This Row],[Date]],"mmm-yyyy")</f>
        <v>Apr-2026</v>
      </c>
      <c r="G832" t="str">
        <f>IF(Account_Data[[#This Row],[Credit]]&gt;0,"Income","Expense")</f>
        <v>Expense</v>
      </c>
      <c r="H83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832" s="3">
        <f>Account_Data[[#This Row],[Credit]]-Account_Data[[#This Row],[Debit]]</f>
        <v>-9000</v>
      </c>
      <c r="J832" s="7">
        <f>EOMONTH(Account_Data[[#This Row],[Date]],0)</f>
        <v>46142</v>
      </c>
      <c r="K832">
        <f>ABS(Account_Data[[#This Row],[Amount]])</f>
        <v>9000</v>
      </c>
    </row>
    <row r="833" spans="1:11" x14ac:dyDescent="0.35">
      <c r="A833" s="73">
        <v>46128</v>
      </c>
      <c r="B833" t="s">
        <v>445</v>
      </c>
      <c r="C833" s="3">
        <v>16500</v>
      </c>
      <c r="E833" s="3">
        <v>938233.87</v>
      </c>
      <c r="F833" t="str">
        <f>TEXT(Account_Data[[#This Row],[Date]],"mmm-yyyy")</f>
        <v>Apr-2026</v>
      </c>
      <c r="G833" t="str">
        <f>IF(Account_Data[[#This Row],[Credit]]&gt;0,"Income","Expense")</f>
        <v>Expense</v>
      </c>
      <c r="H83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3" s="3">
        <f>Account_Data[[#This Row],[Credit]]-Account_Data[[#This Row],[Debit]]</f>
        <v>-16500</v>
      </c>
      <c r="J833" s="7">
        <f>EOMONTH(Account_Data[[#This Row],[Date]],0)</f>
        <v>46142</v>
      </c>
      <c r="K833">
        <f>ABS(Account_Data[[#This Row],[Amount]])</f>
        <v>16500</v>
      </c>
    </row>
    <row r="834" spans="1:11" x14ac:dyDescent="0.35">
      <c r="A834" s="73">
        <v>46128</v>
      </c>
      <c r="B834" t="s">
        <v>418</v>
      </c>
      <c r="C834" s="3">
        <v>170</v>
      </c>
      <c r="E834" s="3">
        <v>938063.87</v>
      </c>
      <c r="F834" t="str">
        <f>TEXT(Account_Data[[#This Row],[Date]],"mmm-yyyy")</f>
        <v>Apr-2026</v>
      </c>
      <c r="G834" t="str">
        <f>IF(Account_Data[[#This Row],[Credit]]&gt;0,"Income","Expense")</f>
        <v>Expense</v>
      </c>
      <c r="H83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4" s="3">
        <f>Account_Data[[#This Row],[Credit]]-Account_Data[[#This Row],[Debit]]</f>
        <v>-170</v>
      </c>
      <c r="J834" s="7">
        <f>EOMONTH(Account_Data[[#This Row],[Date]],0)</f>
        <v>46142</v>
      </c>
      <c r="K834">
        <f>ABS(Account_Data[[#This Row],[Amount]])</f>
        <v>170</v>
      </c>
    </row>
    <row r="835" spans="1:11" x14ac:dyDescent="0.35">
      <c r="A835" s="73">
        <v>46128</v>
      </c>
      <c r="B835" t="s">
        <v>446</v>
      </c>
      <c r="C835" s="3">
        <v>460</v>
      </c>
      <c r="E835" s="3">
        <v>937603.87</v>
      </c>
      <c r="F835" t="str">
        <f>TEXT(Account_Data[[#This Row],[Date]],"mmm-yyyy")</f>
        <v>Apr-2026</v>
      </c>
      <c r="G835" t="str">
        <f>IF(Account_Data[[#This Row],[Credit]]&gt;0,"Income","Expense")</f>
        <v>Expense</v>
      </c>
      <c r="H83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5" s="3">
        <f>Account_Data[[#This Row],[Credit]]-Account_Data[[#This Row],[Debit]]</f>
        <v>-460</v>
      </c>
      <c r="J835" s="7">
        <f>EOMONTH(Account_Data[[#This Row],[Date]],0)</f>
        <v>46142</v>
      </c>
      <c r="K835">
        <f>ABS(Account_Data[[#This Row],[Amount]])</f>
        <v>460</v>
      </c>
    </row>
    <row r="836" spans="1:11" x14ac:dyDescent="0.35">
      <c r="A836" s="73">
        <v>46128</v>
      </c>
      <c r="B836" t="s">
        <v>442</v>
      </c>
      <c r="C836" s="3">
        <v>16500</v>
      </c>
      <c r="E836" s="3">
        <v>921103.87</v>
      </c>
      <c r="F836" t="str">
        <f>TEXT(Account_Data[[#This Row],[Date]],"mmm-yyyy")</f>
        <v>Apr-2026</v>
      </c>
      <c r="G836" t="str">
        <f>IF(Account_Data[[#This Row],[Credit]]&gt;0,"Income","Expense")</f>
        <v>Expense</v>
      </c>
      <c r="H83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6" s="3">
        <f>Account_Data[[#This Row],[Credit]]-Account_Data[[#This Row],[Debit]]</f>
        <v>-16500</v>
      </c>
      <c r="J836" s="7">
        <f>EOMONTH(Account_Data[[#This Row],[Date]],0)</f>
        <v>46142</v>
      </c>
      <c r="K836">
        <f>ABS(Account_Data[[#This Row],[Amount]])</f>
        <v>16500</v>
      </c>
    </row>
    <row r="837" spans="1:11" x14ac:dyDescent="0.35">
      <c r="A837" s="73">
        <v>46129</v>
      </c>
      <c r="B837" t="s">
        <v>447</v>
      </c>
      <c r="C837" s="3">
        <v>12000</v>
      </c>
      <c r="E837" s="3">
        <v>909103.87</v>
      </c>
      <c r="F837" t="str">
        <f>TEXT(Account_Data[[#This Row],[Date]],"mmm-yyyy")</f>
        <v>Apr-2026</v>
      </c>
      <c r="G837" t="str">
        <f>IF(Account_Data[[#This Row],[Credit]]&gt;0,"Income","Expense")</f>
        <v>Expense</v>
      </c>
      <c r="H83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7" s="3">
        <f>Account_Data[[#This Row],[Credit]]-Account_Data[[#This Row],[Debit]]</f>
        <v>-12000</v>
      </c>
      <c r="J837" s="7">
        <f>EOMONTH(Account_Data[[#This Row],[Date]],0)</f>
        <v>46142</v>
      </c>
      <c r="K837">
        <f>ABS(Account_Data[[#This Row],[Amount]])</f>
        <v>12000</v>
      </c>
    </row>
    <row r="838" spans="1:11" x14ac:dyDescent="0.35">
      <c r="A838" s="73">
        <v>46129</v>
      </c>
      <c r="B838" t="s">
        <v>448</v>
      </c>
      <c r="C838" s="3">
        <v>251</v>
      </c>
      <c r="E838" s="3">
        <v>908852.87</v>
      </c>
      <c r="F838" t="str">
        <f>TEXT(Account_Data[[#This Row],[Date]],"mmm-yyyy")</f>
        <v>Apr-2026</v>
      </c>
      <c r="G838" t="str">
        <f>IF(Account_Data[[#This Row],[Credit]]&gt;0,"Income","Expense")</f>
        <v>Expense</v>
      </c>
      <c r="H83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8" s="3">
        <f>Account_Data[[#This Row],[Credit]]-Account_Data[[#This Row],[Debit]]</f>
        <v>-251</v>
      </c>
      <c r="J838" s="7">
        <f>EOMONTH(Account_Data[[#This Row],[Date]],0)</f>
        <v>46142</v>
      </c>
      <c r="K838">
        <f>ABS(Account_Data[[#This Row],[Amount]])</f>
        <v>251</v>
      </c>
    </row>
    <row r="839" spans="1:11" x14ac:dyDescent="0.35">
      <c r="A839" s="73">
        <v>46129</v>
      </c>
      <c r="B839" t="s">
        <v>403</v>
      </c>
      <c r="C839" s="3">
        <v>5000</v>
      </c>
      <c r="E839" s="3">
        <v>903852.87</v>
      </c>
      <c r="F839" t="str">
        <f>TEXT(Account_Data[[#This Row],[Date]],"mmm-yyyy")</f>
        <v>Apr-2026</v>
      </c>
      <c r="G839" t="str">
        <f>IF(Account_Data[[#This Row],[Credit]]&gt;0,"Income","Expense")</f>
        <v>Expense</v>
      </c>
      <c r="H83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39" s="3">
        <f>Account_Data[[#This Row],[Credit]]-Account_Data[[#This Row],[Debit]]</f>
        <v>-5000</v>
      </c>
      <c r="J839" s="7">
        <f>EOMONTH(Account_Data[[#This Row],[Date]],0)</f>
        <v>46142</v>
      </c>
      <c r="K839">
        <f>ABS(Account_Data[[#This Row],[Amount]])</f>
        <v>5000</v>
      </c>
    </row>
    <row r="840" spans="1:11" x14ac:dyDescent="0.35">
      <c r="A840" s="73">
        <v>46129</v>
      </c>
      <c r="B840" t="s">
        <v>449</v>
      </c>
      <c r="C840" s="3">
        <v>3454</v>
      </c>
      <c r="E840" s="3">
        <v>900398.87</v>
      </c>
      <c r="F840" t="str">
        <f>TEXT(Account_Data[[#This Row],[Date]],"mmm-yyyy")</f>
        <v>Apr-2026</v>
      </c>
      <c r="G840" t="str">
        <f>IF(Account_Data[[#This Row],[Credit]]&gt;0,"Income","Expense")</f>
        <v>Expense</v>
      </c>
      <c r="H84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0" s="3">
        <f>Account_Data[[#This Row],[Credit]]-Account_Data[[#This Row],[Debit]]</f>
        <v>-3454</v>
      </c>
      <c r="J840" s="7">
        <f>EOMONTH(Account_Data[[#This Row],[Date]],0)</f>
        <v>46142</v>
      </c>
      <c r="K840">
        <f>ABS(Account_Data[[#This Row],[Amount]])</f>
        <v>3454</v>
      </c>
    </row>
    <row r="841" spans="1:11" x14ac:dyDescent="0.35">
      <c r="A841" s="73">
        <v>46130</v>
      </c>
      <c r="B841" t="s">
        <v>450</v>
      </c>
      <c r="C841" s="3">
        <v>2000</v>
      </c>
      <c r="E841" s="3">
        <v>898398.87</v>
      </c>
      <c r="F841" t="str">
        <f>TEXT(Account_Data[[#This Row],[Date]],"mmm-yyyy")</f>
        <v>Apr-2026</v>
      </c>
      <c r="G841" t="str">
        <f>IF(Account_Data[[#This Row],[Credit]]&gt;0,"Income","Expense")</f>
        <v>Expense</v>
      </c>
      <c r="H84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1" s="3">
        <f>Account_Data[[#This Row],[Credit]]-Account_Data[[#This Row],[Debit]]</f>
        <v>-2000</v>
      </c>
      <c r="J841" s="7">
        <f>EOMONTH(Account_Data[[#This Row],[Date]],0)</f>
        <v>46142</v>
      </c>
      <c r="K841">
        <f>ABS(Account_Data[[#This Row],[Amount]])</f>
        <v>2000</v>
      </c>
    </row>
    <row r="842" spans="1:11" x14ac:dyDescent="0.35">
      <c r="A842" s="73">
        <v>46130</v>
      </c>
      <c r="B842" t="s">
        <v>451</v>
      </c>
      <c r="C842" s="3">
        <v>2000</v>
      </c>
      <c r="E842" s="3">
        <v>896398.87</v>
      </c>
      <c r="F842" t="str">
        <f>TEXT(Account_Data[[#This Row],[Date]],"mmm-yyyy")</f>
        <v>Apr-2026</v>
      </c>
      <c r="G842" t="str">
        <f>IF(Account_Data[[#This Row],[Credit]]&gt;0,"Income","Expense")</f>
        <v>Expense</v>
      </c>
      <c r="H84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2" s="3">
        <f>Account_Data[[#This Row],[Credit]]-Account_Data[[#This Row],[Debit]]</f>
        <v>-2000</v>
      </c>
      <c r="J842" s="7">
        <f>EOMONTH(Account_Data[[#This Row],[Date]],0)</f>
        <v>46142</v>
      </c>
      <c r="K842">
        <f>ABS(Account_Data[[#This Row],[Amount]])</f>
        <v>2000</v>
      </c>
    </row>
    <row r="843" spans="1:11" x14ac:dyDescent="0.35">
      <c r="A843" s="73">
        <v>46131</v>
      </c>
      <c r="B843" t="s">
        <v>452</v>
      </c>
      <c r="C843" s="3">
        <v>6000</v>
      </c>
      <c r="E843" s="3">
        <v>890398.87</v>
      </c>
      <c r="F843" t="str">
        <f>TEXT(Account_Data[[#This Row],[Date]],"mmm-yyyy")</f>
        <v>Apr-2026</v>
      </c>
      <c r="G843" t="str">
        <f>IF(Account_Data[[#This Row],[Credit]]&gt;0,"Income","Expense")</f>
        <v>Expense</v>
      </c>
      <c r="H84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3" s="3">
        <f>Account_Data[[#This Row],[Credit]]-Account_Data[[#This Row],[Debit]]</f>
        <v>-6000</v>
      </c>
      <c r="J843" s="7">
        <f>EOMONTH(Account_Data[[#This Row],[Date]],0)</f>
        <v>46142</v>
      </c>
      <c r="K843">
        <f>ABS(Account_Data[[#This Row],[Amount]])</f>
        <v>6000</v>
      </c>
    </row>
    <row r="844" spans="1:11" x14ac:dyDescent="0.35">
      <c r="A844" s="73">
        <v>46131</v>
      </c>
      <c r="B844" t="s">
        <v>442</v>
      </c>
      <c r="C844" s="3">
        <v>16500</v>
      </c>
      <c r="E844" s="3">
        <v>873898.87</v>
      </c>
      <c r="F844" t="str">
        <f>TEXT(Account_Data[[#This Row],[Date]],"mmm-yyyy")</f>
        <v>Apr-2026</v>
      </c>
      <c r="G844" t="str">
        <f>IF(Account_Data[[#This Row],[Credit]]&gt;0,"Income","Expense")</f>
        <v>Expense</v>
      </c>
      <c r="H84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4" s="3">
        <f>Account_Data[[#This Row],[Credit]]-Account_Data[[#This Row],[Debit]]</f>
        <v>-16500</v>
      </c>
      <c r="J844" s="7">
        <f>EOMONTH(Account_Data[[#This Row],[Date]],0)</f>
        <v>46142</v>
      </c>
      <c r="K844">
        <f>ABS(Account_Data[[#This Row],[Amount]])</f>
        <v>16500</v>
      </c>
    </row>
    <row r="845" spans="1:11" x14ac:dyDescent="0.35">
      <c r="A845" s="73">
        <v>46131</v>
      </c>
      <c r="B845" t="s">
        <v>453</v>
      </c>
      <c r="C845" s="3">
        <v>180</v>
      </c>
      <c r="E845" s="3">
        <v>873718.87</v>
      </c>
      <c r="F845" t="str">
        <f>TEXT(Account_Data[[#This Row],[Date]],"mmm-yyyy")</f>
        <v>Apr-2026</v>
      </c>
      <c r="G845" t="str">
        <f>IF(Account_Data[[#This Row],[Credit]]&gt;0,"Income","Expense")</f>
        <v>Expense</v>
      </c>
      <c r="H84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5" s="3">
        <f>Account_Data[[#This Row],[Credit]]-Account_Data[[#This Row],[Debit]]</f>
        <v>-180</v>
      </c>
      <c r="J845" s="7">
        <f>EOMONTH(Account_Data[[#This Row],[Date]],0)</f>
        <v>46142</v>
      </c>
      <c r="K845">
        <f>ABS(Account_Data[[#This Row],[Amount]])</f>
        <v>180</v>
      </c>
    </row>
    <row r="846" spans="1:11" x14ac:dyDescent="0.35">
      <c r="A846" s="73">
        <v>46131</v>
      </c>
      <c r="B846" t="s">
        <v>417</v>
      </c>
      <c r="C846" s="3">
        <v>15</v>
      </c>
      <c r="E846" s="3">
        <v>873703.87</v>
      </c>
      <c r="F846" t="str">
        <f>TEXT(Account_Data[[#This Row],[Date]],"mmm-yyyy")</f>
        <v>Apr-2026</v>
      </c>
      <c r="G846" t="str">
        <f>IF(Account_Data[[#This Row],[Credit]]&gt;0,"Income","Expense")</f>
        <v>Expense</v>
      </c>
      <c r="H84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6" s="3">
        <f>Account_Data[[#This Row],[Credit]]-Account_Data[[#This Row],[Debit]]</f>
        <v>-15</v>
      </c>
      <c r="J846" s="7">
        <f>EOMONTH(Account_Data[[#This Row],[Date]],0)</f>
        <v>46142</v>
      </c>
      <c r="K846">
        <f>ABS(Account_Data[[#This Row],[Amount]])</f>
        <v>15</v>
      </c>
    </row>
    <row r="847" spans="1:11" x14ac:dyDescent="0.35">
      <c r="A847" s="73">
        <v>46132</v>
      </c>
      <c r="B847" t="s">
        <v>454</v>
      </c>
      <c r="C847" s="3">
        <v>300</v>
      </c>
      <c r="E847" s="3">
        <v>873403.87</v>
      </c>
      <c r="F847" t="str">
        <f>TEXT(Account_Data[[#This Row],[Date]],"mmm-yyyy")</f>
        <v>Apr-2026</v>
      </c>
      <c r="G847" t="str">
        <f>IF(Account_Data[[#This Row],[Credit]]&gt;0,"Income","Expense")</f>
        <v>Expense</v>
      </c>
      <c r="H84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7" s="3">
        <f>Account_Data[[#This Row],[Credit]]-Account_Data[[#This Row],[Debit]]</f>
        <v>-300</v>
      </c>
      <c r="J847" s="7">
        <f>EOMONTH(Account_Data[[#This Row],[Date]],0)</f>
        <v>46142</v>
      </c>
      <c r="K847">
        <f>ABS(Account_Data[[#This Row],[Amount]])</f>
        <v>300</v>
      </c>
    </row>
    <row r="848" spans="1:11" x14ac:dyDescent="0.35">
      <c r="A848" s="73">
        <v>46132</v>
      </c>
      <c r="B848" t="s">
        <v>442</v>
      </c>
      <c r="C848" s="3">
        <v>16500</v>
      </c>
      <c r="E848" s="3">
        <v>856903.87</v>
      </c>
      <c r="F848" t="str">
        <f>TEXT(Account_Data[[#This Row],[Date]],"mmm-yyyy")</f>
        <v>Apr-2026</v>
      </c>
      <c r="G848" t="str">
        <f>IF(Account_Data[[#This Row],[Credit]]&gt;0,"Income","Expense")</f>
        <v>Expense</v>
      </c>
      <c r="H84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8" s="3">
        <f>Account_Data[[#This Row],[Credit]]-Account_Data[[#This Row],[Debit]]</f>
        <v>-16500</v>
      </c>
      <c r="J848" s="7">
        <f>EOMONTH(Account_Data[[#This Row],[Date]],0)</f>
        <v>46142</v>
      </c>
      <c r="K848">
        <f>ABS(Account_Data[[#This Row],[Amount]])</f>
        <v>16500</v>
      </c>
    </row>
    <row r="849" spans="1:11" x14ac:dyDescent="0.35">
      <c r="A849" s="73">
        <v>46132</v>
      </c>
      <c r="B849" t="s">
        <v>451</v>
      </c>
      <c r="C849" s="3">
        <v>7500</v>
      </c>
      <c r="E849" s="3">
        <v>849403.87</v>
      </c>
      <c r="F849" t="str">
        <f>TEXT(Account_Data[[#This Row],[Date]],"mmm-yyyy")</f>
        <v>Apr-2026</v>
      </c>
      <c r="G849" t="str">
        <f>IF(Account_Data[[#This Row],[Credit]]&gt;0,"Income","Expense")</f>
        <v>Expense</v>
      </c>
      <c r="H84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49" s="3">
        <f>Account_Data[[#This Row],[Credit]]-Account_Data[[#This Row],[Debit]]</f>
        <v>-7500</v>
      </c>
      <c r="J849" s="7">
        <f>EOMONTH(Account_Data[[#This Row],[Date]],0)</f>
        <v>46142</v>
      </c>
      <c r="K849">
        <f>ABS(Account_Data[[#This Row],[Amount]])</f>
        <v>7500</v>
      </c>
    </row>
    <row r="850" spans="1:11" x14ac:dyDescent="0.35">
      <c r="A850" s="73">
        <v>46132</v>
      </c>
      <c r="B850" t="s">
        <v>455</v>
      </c>
      <c r="C850" s="3">
        <v>200</v>
      </c>
      <c r="E850" s="3">
        <v>849203.87</v>
      </c>
      <c r="F850" t="str">
        <f>TEXT(Account_Data[[#This Row],[Date]],"mmm-yyyy")</f>
        <v>Apr-2026</v>
      </c>
      <c r="G850" t="str">
        <f>IF(Account_Data[[#This Row],[Credit]]&gt;0,"Income","Expense")</f>
        <v>Expense</v>
      </c>
      <c r="H85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0" s="3">
        <f>Account_Data[[#This Row],[Credit]]-Account_Data[[#This Row],[Debit]]</f>
        <v>-200</v>
      </c>
      <c r="J850" s="7">
        <f>EOMONTH(Account_Data[[#This Row],[Date]],0)</f>
        <v>46142</v>
      </c>
      <c r="K850">
        <f>ABS(Account_Data[[#This Row],[Amount]])</f>
        <v>200</v>
      </c>
    </row>
    <row r="851" spans="1:11" x14ac:dyDescent="0.35">
      <c r="A851" s="73">
        <v>46132</v>
      </c>
      <c r="B851" t="s">
        <v>415</v>
      </c>
      <c r="C851" s="3">
        <v>5000</v>
      </c>
      <c r="E851" s="3">
        <v>844203.87</v>
      </c>
      <c r="F851" t="str">
        <f>TEXT(Account_Data[[#This Row],[Date]],"mmm-yyyy")</f>
        <v>Apr-2026</v>
      </c>
      <c r="G851" t="str">
        <f>IF(Account_Data[[#This Row],[Credit]]&gt;0,"Income","Expense")</f>
        <v>Expense</v>
      </c>
      <c r="H85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1" s="3">
        <f>Account_Data[[#This Row],[Credit]]-Account_Data[[#This Row],[Debit]]</f>
        <v>-5000</v>
      </c>
      <c r="J851" s="7">
        <f>EOMONTH(Account_Data[[#This Row],[Date]],0)</f>
        <v>46142</v>
      </c>
      <c r="K851">
        <f>ABS(Account_Data[[#This Row],[Amount]])</f>
        <v>5000</v>
      </c>
    </row>
    <row r="852" spans="1:11" x14ac:dyDescent="0.35">
      <c r="A852" s="73">
        <v>46133</v>
      </c>
      <c r="B852" t="s">
        <v>456</v>
      </c>
      <c r="C852" s="3">
        <v>1000</v>
      </c>
      <c r="E852" s="3">
        <v>843203.87</v>
      </c>
      <c r="F852" t="str">
        <f>TEXT(Account_Data[[#This Row],[Date]],"mmm-yyyy")</f>
        <v>Apr-2026</v>
      </c>
      <c r="G852" t="str">
        <f>IF(Account_Data[[#This Row],[Credit]]&gt;0,"Income","Expense")</f>
        <v>Expense</v>
      </c>
      <c r="H85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2" s="3">
        <f>Account_Data[[#This Row],[Credit]]-Account_Data[[#This Row],[Debit]]</f>
        <v>-1000</v>
      </c>
      <c r="J852" s="7">
        <f>EOMONTH(Account_Data[[#This Row],[Date]],0)</f>
        <v>46142</v>
      </c>
      <c r="K852">
        <f>ABS(Account_Data[[#This Row],[Amount]])</f>
        <v>1000</v>
      </c>
    </row>
    <row r="853" spans="1:11" x14ac:dyDescent="0.35">
      <c r="A853" s="73">
        <v>46133</v>
      </c>
      <c r="B853" t="s">
        <v>457</v>
      </c>
      <c r="C853" s="3">
        <v>900</v>
      </c>
      <c r="E853" s="3">
        <v>842303.87</v>
      </c>
      <c r="F853" t="str">
        <f>TEXT(Account_Data[[#This Row],[Date]],"mmm-yyyy")</f>
        <v>Apr-2026</v>
      </c>
      <c r="G853" t="str">
        <f>IF(Account_Data[[#This Row],[Credit]]&gt;0,"Income","Expense")</f>
        <v>Expense</v>
      </c>
      <c r="H85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3" s="3">
        <f>Account_Data[[#This Row],[Credit]]-Account_Data[[#This Row],[Debit]]</f>
        <v>-900</v>
      </c>
      <c r="J853" s="7">
        <f>EOMONTH(Account_Data[[#This Row],[Date]],0)</f>
        <v>46142</v>
      </c>
      <c r="K853">
        <f>ABS(Account_Data[[#This Row],[Amount]])</f>
        <v>900</v>
      </c>
    </row>
    <row r="854" spans="1:11" x14ac:dyDescent="0.35">
      <c r="A854" s="73">
        <v>46133</v>
      </c>
      <c r="B854" t="s">
        <v>458</v>
      </c>
      <c r="C854" s="3">
        <v>520</v>
      </c>
      <c r="E854" s="3">
        <v>841783.87</v>
      </c>
      <c r="F854" t="str">
        <f>TEXT(Account_Data[[#This Row],[Date]],"mmm-yyyy")</f>
        <v>Apr-2026</v>
      </c>
      <c r="G854" t="str">
        <f>IF(Account_Data[[#This Row],[Credit]]&gt;0,"Income","Expense")</f>
        <v>Expense</v>
      </c>
      <c r="H85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4" s="3">
        <f>Account_Data[[#This Row],[Credit]]-Account_Data[[#This Row],[Debit]]</f>
        <v>-520</v>
      </c>
      <c r="J854" s="7">
        <f>EOMONTH(Account_Data[[#This Row],[Date]],0)</f>
        <v>46142</v>
      </c>
      <c r="K854">
        <f>ABS(Account_Data[[#This Row],[Amount]])</f>
        <v>520</v>
      </c>
    </row>
    <row r="855" spans="1:11" x14ac:dyDescent="0.35">
      <c r="A855" s="73">
        <v>46133</v>
      </c>
      <c r="B855" t="s">
        <v>455</v>
      </c>
      <c r="C855" s="3">
        <v>675</v>
      </c>
      <c r="E855" s="3">
        <v>841108.87</v>
      </c>
      <c r="F855" t="str">
        <f>TEXT(Account_Data[[#This Row],[Date]],"mmm-yyyy")</f>
        <v>Apr-2026</v>
      </c>
      <c r="G855" t="str">
        <f>IF(Account_Data[[#This Row],[Credit]]&gt;0,"Income","Expense")</f>
        <v>Expense</v>
      </c>
      <c r="H85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5" s="3">
        <f>Account_Data[[#This Row],[Credit]]-Account_Data[[#This Row],[Debit]]</f>
        <v>-675</v>
      </c>
      <c r="J855" s="7">
        <f>EOMONTH(Account_Data[[#This Row],[Date]],0)</f>
        <v>46142</v>
      </c>
      <c r="K855">
        <f>ABS(Account_Data[[#This Row],[Amount]])</f>
        <v>675</v>
      </c>
    </row>
    <row r="856" spans="1:11" x14ac:dyDescent="0.35">
      <c r="A856" s="73">
        <v>46134</v>
      </c>
      <c r="B856" t="s">
        <v>417</v>
      </c>
      <c r="C856" s="3">
        <v>15</v>
      </c>
      <c r="E856" s="3">
        <v>841093.87</v>
      </c>
      <c r="F856" t="str">
        <f>TEXT(Account_Data[[#This Row],[Date]],"mmm-yyyy")</f>
        <v>Apr-2026</v>
      </c>
      <c r="G856" t="str">
        <f>IF(Account_Data[[#This Row],[Credit]]&gt;0,"Income","Expense")</f>
        <v>Expense</v>
      </c>
      <c r="H85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6" s="3">
        <f>Account_Data[[#This Row],[Credit]]-Account_Data[[#This Row],[Debit]]</f>
        <v>-15</v>
      </c>
      <c r="J856" s="7">
        <f>EOMONTH(Account_Data[[#This Row],[Date]],0)</f>
        <v>46142</v>
      </c>
      <c r="K856">
        <f>ABS(Account_Data[[#This Row],[Amount]])</f>
        <v>15</v>
      </c>
    </row>
    <row r="857" spans="1:11" x14ac:dyDescent="0.35">
      <c r="A857" s="73">
        <v>46135</v>
      </c>
      <c r="B857" t="s">
        <v>444</v>
      </c>
      <c r="C857" s="3">
        <v>15000</v>
      </c>
      <c r="E857" s="3">
        <v>826093.87</v>
      </c>
      <c r="F857" t="str">
        <f>TEXT(Account_Data[[#This Row],[Date]],"mmm-yyyy")</f>
        <v>Apr-2026</v>
      </c>
      <c r="G857" t="str">
        <f>IF(Account_Data[[#This Row],[Credit]]&gt;0,"Income","Expense")</f>
        <v>Expense</v>
      </c>
      <c r="H85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857" s="3">
        <f>Account_Data[[#This Row],[Credit]]-Account_Data[[#This Row],[Debit]]</f>
        <v>-15000</v>
      </c>
      <c r="J857" s="7">
        <f>EOMONTH(Account_Data[[#This Row],[Date]],0)</f>
        <v>46142</v>
      </c>
      <c r="K857">
        <f>ABS(Account_Data[[#This Row],[Amount]])</f>
        <v>15000</v>
      </c>
    </row>
    <row r="858" spans="1:11" x14ac:dyDescent="0.35">
      <c r="A858" s="73">
        <v>46135</v>
      </c>
      <c r="B858" t="s">
        <v>459</v>
      </c>
      <c r="C858" s="3">
        <v>503</v>
      </c>
      <c r="E858" s="3">
        <v>825590.87</v>
      </c>
      <c r="F858" t="str">
        <f>TEXT(Account_Data[[#This Row],[Date]],"mmm-yyyy")</f>
        <v>Apr-2026</v>
      </c>
      <c r="G858" t="str">
        <f>IF(Account_Data[[#This Row],[Credit]]&gt;0,"Income","Expense")</f>
        <v>Expense</v>
      </c>
      <c r="H85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8" s="3">
        <f>Account_Data[[#This Row],[Credit]]-Account_Data[[#This Row],[Debit]]</f>
        <v>-503</v>
      </c>
      <c r="J858" s="7">
        <f>EOMONTH(Account_Data[[#This Row],[Date]],0)</f>
        <v>46142</v>
      </c>
      <c r="K858">
        <f>ABS(Account_Data[[#This Row],[Amount]])</f>
        <v>503</v>
      </c>
    </row>
    <row r="859" spans="1:11" x14ac:dyDescent="0.35">
      <c r="A859" s="73">
        <v>46135</v>
      </c>
      <c r="B859" t="s">
        <v>460</v>
      </c>
      <c r="C859" s="3">
        <v>25</v>
      </c>
      <c r="E859" s="3">
        <v>825565.87</v>
      </c>
      <c r="F859" t="str">
        <f>TEXT(Account_Data[[#This Row],[Date]],"mmm-yyyy")</f>
        <v>Apr-2026</v>
      </c>
      <c r="G859" t="str">
        <f>IF(Account_Data[[#This Row],[Credit]]&gt;0,"Income","Expense")</f>
        <v>Expense</v>
      </c>
      <c r="H85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59" s="3">
        <f>Account_Data[[#This Row],[Credit]]-Account_Data[[#This Row],[Debit]]</f>
        <v>-25</v>
      </c>
      <c r="J859" s="7">
        <f>EOMONTH(Account_Data[[#This Row],[Date]],0)</f>
        <v>46142</v>
      </c>
      <c r="K859">
        <f>ABS(Account_Data[[#This Row],[Amount]])</f>
        <v>25</v>
      </c>
    </row>
    <row r="860" spans="1:11" x14ac:dyDescent="0.35">
      <c r="A860" s="73">
        <v>46135</v>
      </c>
      <c r="B860" t="s">
        <v>461</v>
      </c>
      <c r="C860" s="3">
        <v>1500</v>
      </c>
      <c r="E860" s="3">
        <v>824065.87</v>
      </c>
      <c r="F860" t="str">
        <f>TEXT(Account_Data[[#This Row],[Date]],"mmm-yyyy")</f>
        <v>Apr-2026</v>
      </c>
      <c r="G860" t="str">
        <f>IF(Account_Data[[#This Row],[Credit]]&gt;0,"Income","Expense")</f>
        <v>Expense</v>
      </c>
      <c r="H86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0" s="3">
        <f>Account_Data[[#This Row],[Credit]]-Account_Data[[#This Row],[Debit]]</f>
        <v>-1500</v>
      </c>
      <c r="J860" s="7">
        <f>EOMONTH(Account_Data[[#This Row],[Date]],0)</f>
        <v>46142</v>
      </c>
      <c r="K860">
        <f>ABS(Account_Data[[#This Row],[Amount]])</f>
        <v>1500</v>
      </c>
    </row>
    <row r="861" spans="1:11" x14ac:dyDescent="0.35">
      <c r="A861" s="73">
        <v>46136</v>
      </c>
      <c r="B861" t="s">
        <v>462</v>
      </c>
      <c r="C861" s="3">
        <v>4000</v>
      </c>
      <c r="E861" s="3">
        <v>820065.87</v>
      </c>
      <c r="F861" t="str">
        <f>TEXT(Account_Data[[#This Row],[Date]],"mmm-yyyy")</f>
        <v>Apr-2026</v>
      </c>
      <c r="G861" t="str">
        <f>IF(Account_Data[[#This Row],[Credit]]&gt;0,"Income","Expense")</f>
        <v>Expense</v>
      </c>
      <c r="H86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1" s="3">
        <f>Account_Data[[#This Row],[Credit]]-Account_Data[[#This Row],[Debit]]</f>
        <v>-4000</v>
      </c>
      <c r="J861" s="7">
        <f>EOMONTH(Account_Data[[#This Row],[Date]],0)</f>
        <v>46142</v>
      </c>
      <c r="K861">
        <f>ABS(Account_Data[[#This Row],[Amount]])</f>
        <v>4000</v>
      </c>
    </row>
    <row r="862" spans="1:11" x14ac:dyDescent="0.35">
      <c r="A862" s="73">
        <v>46136</v>
      </c>
      <c r="B862" t="s">
        <v>463</v>
      </c>
      <c r="C862" s="3">
        <v>63817</v>
      </c>
      <c r="E862" s="3">
        <v>756248.87</v>
      </c>
      <c r="F862" t="str">
        <f>TEXT(Account_Data[[#This Row],[Date]],"mmm-yyyy")</f>
        <v>Apr-2026</v>
      </c>
      <c r="G862" t="str">
        <f>IF(Account_Data[[#This Row],[Credit]]&gt;0,"Income","Expense")</f>
        <v>Expense</v>
      </c>
      <c r="H86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2" s="3">
        <f>Account_Data[[#This Row],[Credit]]-Account_Data[[#This Row],[Debit]]</f>
        <v>-63817</v>
      </c>
      <c r="J862" s="7">
        <f>EOMONTH(Account_Data[[#This Row],[Date]],0)</f>
        <v>46142</v>
      </c>
      <c r="K862">
        <f>ABS(Account_Data[[#This Row],[Amount]])</f>
        <v>63817</v>
      </c>
    </row>
    <row r="863" spans="1:11" x14ac:dyDescent="0.35">
      <c r="A863" s="73">
        <v>46137</v>
      </c>
      <c r="B863" t="s">
        <v>422</v>
      </c>
      <c r="C863" s="3">
        <v>250</v>
      </c>
      <c r="E863" s="3">
        <v>755998.87</v>
      </c>
      <c r="F863" t="str">
        <f>TEXT(Account_Data[[#This Row],[Date]],"mmm-yyyy")</f>
        <v>Apr-2026</v>
      </c>
      <c r="G863" t="str">
        <f>IF(Account_Data[[#This Row],[Credit]]&gt;0,"Income","Expense")</f>
        <v>Expense</v>
      </c>
      <c r="H86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3" s="3">
        <f>Account_Data[[#This Row],[Credit]]-Account_Data[[#This Row],[Debit]]</f>
        <v>-250</v>
      </c>
      <c r="J863" s="7">
        <f>EOMONTH(Account_Data[[#This Row],[Date]],0)</f>
        <v>46142</v>
      </c>
      <c r="K863">
        <f>ABS(Account_Data[[#This Row],[Amount]])</f>
        <v>250</v>
      </c>
    </row>
    <row r="864" spans="1:11" x14ac:dyDescent="0.35">
      <c r="A864" s="73">
        <v>46137</v>
      </c>
      <c r="B864" t="s">
        <v>464</v>
      </c>
      <c r="C864" s="3">
        <v>1000</v>
      </c>
      <c r="E864" s="3">
        <v>754998.87</v>
      </c>
      <c r="F864" t="str">
        <f>TEXT(Account_Data[[#This Row],[Date]],"mmm-yyyy")</f>
        <v>Apr-2026</v>
      </c>
      <c r="G864" t="str">
        <f>IF(Account_Data[[#This Row],[Credit]]&gt;0,"Income","Expense")</f>
        <v>Expense</v>
      </c>
      <c r="H86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4" s="3">
        <f>Account_Data[[#This Row],[Credit]]-Account_Data[[#This Row],[Debit]]</f>
        <v>-1000</v>
      </c>
      <c r="J864" s="7">
        <f>EOMONTH(Account_Data[[#This Row],[Date]],0)</f>
        <v>46142</v>
      </c>
      <c r="K864">
        <f>ABS(Account_Data[[#This Row],[Amount]])</f>
        <v>1000</v>
      </c>
    </row>
    <row r="865" spans="1:11" x14ac:dyDescent="0.35">
      <c r="A865" s="73">
        <v>46137</v>
      </c>
      <c r="B865" t="s">
        <v>456</v>
      </c>
      <c r="C865" s="3">
        <v>800</v>
      </c>
      <c r="E865" s="3">
        <v>754198.87</v>
      </c>
      <c r="F865" t="str">
        <f>TEXT(Account_Data[[#This Row],[Date]],"mmm-yyyy")</f>
        <v>Apr-2026</v>
      </c>
      <c r="G865" t="str">
        <f>IF(Account_Data[[#This Row],[Credit]]&gt;0,"Income","Expense")</f>
        <v>Expense</v>
      </c>
      <c r="H86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5" s="3">
        <f>Account_Data[[#This Row],[Credit]]-Account_Data[[#This Row],[Debit]]</f>
        <v>-800</v>
      </c>
      <c r="J865" s="7">
        <f>EOMONTH(Account_Data[[#This Row],[Date]],0)</f>
        <v>46142</v>
      </c>
      <c r="K865">
        <f>ABS(Account_Data[[#This Row],[Amount]])</f>
        <v>800</v>
      </c>
    </row>
    <row r="866" spans="1:11" x14ac:dyDescent="0.35">
      <c r="A866" s="73">
        <v>46137</v>
      </c>
      <c r="B866" t="s">
        <v>465</v>
      </c>
      <c r="C866" s="3">
        <v>1000</v>
      </c>
      <c r="E866" s="3">
        <v>753198.87</v>
      </c>
      <c r="F866" t="str">
        <f>TEXT(Account_Data[[#This Row],[Date]],"mmm-yyyy")</f>
        <v>Apr-2026</v>
      </c>
      <c r="G866" t="str">
        <f>IF(Account_Data[[#This Row],[Credit]]&gt;0,"Income","Expense")</f>
        <v>Expense</v>
      </c>
      <c r="H86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6" s="3">
        <f>Account_Data[[#This Row],[Credit]]-Account_Data[[#This Row],[Debit]]</f>
        <v>-1000</v>
      </c>
      <c r="J866" s="7">
        <f>EOMONTH(Account_Data[[#This Row],[Date]],0)</f>
        <v>46142</v>
      </c>
      <c r="K866">
        <f>ABS(Account_Data[[#This Row],[Amount]])</f>
        <v>1000</v>
      </c>
    </row>
    <row r="867" spans="1:11" x14ac:dyDescent="0.35">
      <c r="A867" s="73">
        <v>46138</v>
      </c>
      <c r="B867" t="s">
        <v>466</v>
      </c>
      <c r="C867" s="3">
        <v>40000</v>
      </c>
      <c r="E867" s="3">
        <v>713198.87</v>
      </c>
      <c r="F867" t="str">
        <f>TEXT(Account_Data[[#This Row],[Date]],"mmm-yyyy")</f>
        <v>Apr-2026</v>
      </c>
      <c r="G867" t="str">
        <f>IF(Account_Data[[#This Row],[Credit]]&gt;0,"Income","Expense")</f>
        <v>Expense</v>
      </c>
      <c r="H86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7" s="3">
        <f>Account_Data[[#This Row],[Credit]]-Account_Data[[#This Row],[Debit]]</f>
        <v>-40000</v>
      </c>
      <c r="J867" s="7">
        <f>EOMONTH(Account_Data[[#This Row],[Date]],0)</f>
        <v>46142</v>
      </c>
      <c r="K867">
        <f>ABS(Account_Data[[#This Row],[Amount]])</f>
        <v>40000</v>
      </c>
    </row>
    <row r="868" spans="1:11" x14ac:dyDescent="0.35">
      <c r="A868" s="73">
        <v>46138</v>
      </c>
      <c r="B868" t="s">
        <v>467</v>
      </c>
      <c r="C868" s="3">
        <v>70</v>
      </c>
      <c r="E868" s="3">
        <v>713128.87</v>
      </c>
      <c r="F868" t="str">
        <f>TEXT(Account_Data[[#This Row],[Date]],"mmm-yyyy")</f>
        <v>Apr-2026</v>
      </c>
      <c r="G868" t="str">
        <f>IF(Account_Data[[#This Row],[Credit]]&gt;0,"Income","Expense")</f>
        <v>Expense</v>
      </c>
      <c r="H86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8" s="3">
        <f>Account_Data[[#This Row],[Credit]]-Account_Data[[#This Row],[Debit]]</f>
        <v>-70</v>
      </c>
      <c r="J868" s="7">
        <f>EOMONTH(Account_Data[[#This Row],[Date]],0)</f>
        <v>46142</v>
      </c>
      <c r="K868">
        <f>ABS(Account_Data[[#This Row],[Amount]])</f>
        <v>70</v>
      </c>
    </row>
    <row r="869" spans="1:11" x14ac:dyDescent="0.35">
      <c r="A869" s="73">
        <v>46138</v>
      </c>
      <c r="B869" t="s">
        <v>143</v>
      </c>
      <c r="D869" s="3">
        <v>1100</v>
      </c>
      <c r="E869" s="3">
        <v>714228.87</v>
      </c>
      <c r="F869" t="str">
        <f>TEXT(Account_Data[[#This Row],[Date]],"mmm-yyyy")</f>
        <v>Apr-2026</v>
      </c>
      <c r="G869" t="str">
        <f>IF(Account_Data[[#This Row],[Credit]]&gt;0,"Income","Expense")</f>
        <v>Income</v>
      </c>
      <c r="H86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69" s="3">
        <f>Account_Data[[#This Row],[Credit]]-Account_Data[[#This Row],[Debit]]</f>
        <v>1100</v>
      </c>
      <c r="J869" s="7">
        <f>EOMONTH(Account_Data[[#This Row],[Date]],0)</f>
        <v>46142</v>
      </c>
      <c r="K869">
        <f>ABS(Account_Data[[#This Row],[Amount]])</f>
        <v>1100</v>
      </c>
    </row>
    <row r="870" spans="1:11" x14ac:dyDescent="0.35">
      <c r="A870" s="73">
        <v>46138</v>
      </c>
      <c r="B870" t="s">
        <v>143</v>
      </c>
      <c r="D870" s="3">
        <v>10</v>
      </c>
      <c r="E870" s="3">
        <v>714238.87</v>
      </c>
      <c r="F870" t="str">
        <f>TEXT(Account_Data[[#This Row],[Date]],"mmm-yyyy")</f>
        <v>Apr-2026</v>
      </c>
      <c r="G870" t="str">
        <f>IF(Account_Data[[#This Row],[Credit]]&gt;0,"Income","Expense")</f>
        <v>Income</v>
      </c>
      <c r="H87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0" s="3">
        <f>Account_Data[[#This Row],[Credit]]-Account_Data[[#This Row],[Debit]]</f>
        <v>10</v>
      </c>
      <c r="J870" s="7">
        <f>EOMONTH(Account_Data[[#This Row],[Date]],0)</f>
        <v>46142</v>
      </c>
      <c r="K870">
        <f>ABS(Account_Data[[#This Row],[Amount]])</f>
        <v>10</v>
      </c>
    </row>
    <row r="871" spans="1:11" x14ac:dyDescent="0.35">
      <c r="A871" s="73">
        <v>46139</v>
      </c>
      <c r="B871" t="s">
        <v>424</v>
      </c>
      <c r="C871" s="3">
        <v>424</v>
      </c>
      <c r="E871" s="3">
        <v>713814.87</v>
      </c>
      <c r="F871" t="str">
        <f>TEXT(Account_Data[[#This Row],[Date]],"mmm-yyyy")</f>
        <v>Apr-2026</v>
      </c>
      <c r="G871" t="str">
        <f>IF(Account_Data[[#This Row],[Credit]]&gt;0,"Income","Expense")</f>
        <v>Expense</v>
      </c>
      <c r="H87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1" s="3">
        <f>Account_Data[[#This Row],[Credit]]-Account_Data[[#This Row],[Debit]]</f>
        <v>-424</v>
      </c>
      <c r="J871" s="7">
        <f>EOMONTH(Account_Data[[#This Row],[Date]],0)</f>
        <v>46142</v>
      </c>
      <c r="K871">
        <f>ABS(Account_Data[[#This Row],[Amount]])</f>
        <v>424</v>
      </c>
    </row>
    <row r="872" spans="1:11" x14ac:dyDescent="0.35">
      <c r="A872" s="73">
        <v>46139</v>
      </c>
      <c r="B872" t="s">
        <v>468</v>
      </c>
      <c r="C872" s="3">
        <v>33700</v>
      </c>
      <c r="E872" s="3">
        <v>680114.87</v>
      </c>
      <c r="F872" t="str">
        <f>TEXT(Account_Data[[#This Row],[Date]],"mmm-yyyy")</f>
        <v>Apr-2026</v>
      </c>
      <c r="G872" t="str">
        <f>IF(Account_Data[[#This Row],[Credit]]&gt;0,"Income","Expense")</f>
        <v>Expense</v>
      </c>
      <c r="H87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2" s="3">
        <f>Account_Data[[#This Row],[Credit]]-Account_Data[[#This Row],[Debit]]</f>
        <v>-33700</v>
      </c>
      <c r="J872" s="7">
        <f>EOMONTH(Account_Data[[#This Row],[Date]],0)</f>
        <v>46142</v>
      </c>
      <c r="K872">
        <f>ABS(Account_Data[[#This Row],[Amount]])</f>
        <v>33700</v>
      </c>
    </row>
    <row r="873" spans="1:11" x14ac:dyDescent="0.35">
      <c r="A873" s="73">
        <v>46139</v>
      </c>
      <c r="B873" t="s">
        <v>450</v>
      </c>
      <c r="C873" s="3">
        <v>5000</v>
      </c>
      <c r="E873" s="3">
        <v>675114.87</v>
      </c>
      <c r="F873" t="str">
        <f>TEXT(Account_Data[[#This Row],[Date]],"mmm-yyyy")</f>
        <v>Apr-2026</v>
      </c>
      <c r="G873" t="str">
        <f>IF(Account_Data[[#This Row],[Credit]]&gt;0,"Income","Expense")</f>
        <v>Expense</v>
      </c>
      <c r="H87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3" s="3">
        <f>Account_Data[[#This Row],[Credit]]-Account_Data[[#This Row],[Debit]]</f>
        <v>-5000</v>
      </c>
      <c r="J873" s="7">
        <f>EOMONTH(Account_Data[[#This Row],[Date]],0)</f>
        <v>46142</v>
      </c>
      <c r="K873">
        <f>ABS(Account_Data[[#This Row],[Amount]])</f>
        <v>5000</v>
      </c>
    </row>
    <row r="874" spans="1:11" x14ac:dyDescent="0.35">
      <c r="A874" s="73">
        <v>46139</v>
      </c>
      <c r="B874" t="s">
        <v>469</v>
      </c>
      <c r="C874" s="3">
        <v>910</v>
      </c>
      <c r="E874" s="3">
        <v>674204.87</v>
      </c>
      <c r="F874" t="str">
        <f>TEXT(Account_Data[[#This Row],[Date]],"mmm-yyyy")</f>
        <v>Apr-2026</v>
      </c>
      <c r="G874" t="str">
        <f>IF(Account_Data[[#This Row],[Credit]]&gt;0,"Income","Expense")</f>
        <v>Expense</v>
      </c>
      <c r="H87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4" s="3">
        <f>Account_Data[[#This Row],[Credit]]-Account_Data[[#This Row],[Debit]]</f>
        <v>-910</v>
      </c>
      <c r="J874" s="7">
        <f>EOMONTH(Account_Data[[#This Row],[Date]],0)</f>
        <v>46142</v>
      </c>
      <c r="K874">
        <f>ABS(Account_Data[[#This Row],[Amount]])</f>
        <v>910</v>
      </c>
    </row>
    <row r="875" spans="1:11" x14ac:dyDescent="0.35">
      <c r="A875" s="73">
        <v>46139</v>
      </c>
      <c r="B875" t="s">
        <v>470</v>
      </c>
      <c r="C875" s="3">
        <v>520</v>
      </c>
      <c r="E875" s="3">
        <v>673684.87</v>
      </c>
      <c r="F875" t="str">
        <f>TEXT(Account_Data[[#This Row],[Date]],"mmm-yyyy")</f>
        <v>Apr-2026</v>
      </c>
      <c r="G875" t="str">
        <f>IF(Account_Data[[#This Row],[Credit]]&gt;0,"Income","Expense")</f>
        <v>Expense</v>
      </c>
      <c r="H87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5" s="3">
        <f>Account_Data[[#This Row],[Credit]]-Account_Data[[#This Row],[Debit]]</f>
        <v>-520</v>
      </c>
      <c r="J875" s="7">
        <f>EOMONTH(Account_Data[[#This Row],[Date]],0)</f>
        <v>46142</v>
      </c>
      <c r="K875">
        <f>ABS(Account_Data[[#This Row],[Amount]])</f>
        <v>520</v>
      </c>
    </row>
    <row r="876" spans="1:11" x14ac:dyDescent="0.35">
      <c r="A876" s="73">
        <v>46139</v>
      </c>
      <c r="B876" t="s">
        <v>471</v>
      </c>
      <c r="C876" s="3">
        <v>700</v>
      </c>
      <c r="E876" s="3">
        <v>672984.87</v>
      </c>
      <c r="F876" t="str">
        <f>TEXT(Account_Data[[#This Row],[Date]],"mmm-yyyy")</f>
        <v>Apr-2026</v>
      </c>
      <c r="G876" t="str">
        <f>IF(Account_Data[[#This Row],[Credit]]&gt;0,"Income","Expense")</f>
        <v>Expense</v>
      </c>
      <c r="H87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6" s="3">
        <f>Account_Data[[#This Row],[Credit]]-Account_Data[[#This Row],[Debit]]</f>
        <v>-700</v>
      </c>
      <c r="J876" s="7">
        <f>EOMONTH(Account_Data[[#This Row],[Date]],0)</f>
        <v>46142</v>
      </c>
      <c r="K876">
        <f>ABS(Account_Data[[#This Row],[Amount]])</f>
        <v>700</v>
      </c>
    </row>
    <row r="877" spans="1:11" x14ac:dyDescent="0.35">
      <c r="A877" s="73">
        <v>46139</v>
      </c>
      <c r="B877" t="s">
        <v>472</v>
      </c>
      <c r="C877" s="3">
        <v>700</v>
      </c>
      <c r="E877" s="3">
        <v>672284.87</v>
      </c>
      <c r="F877" t="str">
        <f>TEXT(Account_Data[[#This Row],[Date]],"mmm-yyyy")</f>
        <v>Apr-2026</v>
      </c>
      <c r="G877" t="str">
        <f>IF(Account_Data[[#This Row],[Credit]]&gt;0,"Income","Expense")</f>
        <v>Expense</v>
      </c>
      <c r="H87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77" s="3">
        <f>Account_Data[[#This Row],[Credit]]-Account_Data[[#This Row],[Debit]]</f>
        <v>-700</v>
      </c>
      <c r="J877" s="7">
        <f>EOMONTH(Account_Data[[#This Row],[Date]],0)</f>
        <v>46142</v>
      </c>
      <c r="K877">
        <f>ABS(Account_Data[[#This Row],[Amount]])</f>
        <v>700</v>
      </c>
    </row>
    <row r="878" spans="1:11" ht="29" x14ac:dyDescent="0.35">
      <c r="A878" s="73">
        <v>46139</v>
      </c>
      <c r="B878" s="74" t="s">
        <v>500</v>
      </c>
      <c r="D878" s="3">
        <v>122503</v>
      </c>
      <c r="E878" s="3">
        <v>794787.87</v>
      </c>
      <c r="F878" t="str">
        <f>TEXT(Account_Data[[#This Row],[Date]],"mmm-yyyy")</f>
        <v>Apr-2026</v>
      </c>
      <c r="G878" t="str">
        <f>IF(Account_Data[[#This Row],[Credit]]&gt;0,"Income","Expense")</f>
        <v>Income</v>
      </c>
      <c r="H87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Income</v>
      </c>
      <c r="I878" s="3">
        <f>Account_Data[[#This Row],[Credit]]-Account_Data[[#This Row],[Debit]]</f>
        <v>122503</v>
      </c>
      <c r="J878" s="7">
        <f>EOMONTH(Account_Data[[#This Row],[Date]],0)</f>
        <v>46142</v>
      </c>
      <c r="K878">
        <f>ABS(Account_Data[[#This Row],[Amount]])</f>
        <v>122503</v>
      </c>
    </row>
    <row r="879" spans="1:11" x14ac:dyDescent="0.35">
      <c r="A879" s="73">
        <v>46140</v>
      </c>
      <c r="B879" t="s">
        <v>144</v>
      </c>
      <c r="C879" s="3">
        <v>1000</v>
      </c>
      <c r="E879" s="3">
        <v>793787.87</v>
      </c>
      <c r="F879" t="str">
        <f>TEXT(Account_Data[[#This Row],[Date]],"mmm-yyyy")</f>
        <v>Apr-2026</v>
      </c>
      <c r="G879" t="str">
        <f>IF(Account_Data[[#This Row],[Credit]]&gt;0,"Income","Expense")</f>
        <v>Expense</v>
      </c>
      <c r="H87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Other</v>
      </c>
      <c r="I879" s="3">
        <f>Account_Data[[#This Row],[Credit]]-Account_Data[[#This Row],[Debit]]</f>
        <v>-1000</v>
      </c>
      <c r="J879" s="7">
        <f>EOMONTH(Account_Data[[#This Row],[Date]],0)</f>
        <v>46142</v>
      </c>
      <c r="K879">
        <f>ABS(Account_Data[[#This Row],[Amount]])</f>
        <v>1000</v>
      </c>
    </row>
    <row r="880" spans="1:11" x14ac:dyDescent="0.35">
      <c r="A880" s="73">
        <v>46140</v>
      </c>
      <c r="B880" t="s">
        <v>403</v>
      </c>
      <c r="C880" s="3">
        <v>6000</v>
      </c>
      <c r="E880" s="3">
        <v>787787.87</v>
      </c>
      <c r="F880" t="str">
        <f>TEXT(Account_Data[[#This Row],[Date]],"mmm-yyyy")</f>
        <v>Apr-2026</v>
      </c>
      <c r="G880" t="str">
        <f>IF(Account_Data[[#This Row],[Credit]]&gt;0,"Income","Expense")</f>
        <v>Expense</v>
      </c>
      <c r="H88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0" s="3">
        <f>Account_Data[[#This Row],[Credit]]-Account_Data[[#This Row],[Debit]]</f>
        <v>-6000</v>
      </c>
      <c r="J880" s="7">
        <f>EOMONTH(Account_Data[[#This Row],[Date]],0)</f>
        <v>46142</v>
      </c>
      <c r="K880">
        <f>ABS(Account_Data[[#This Row],[Amount]])</f>
        <v>6000</v>
      </c>
    </row>
    <row r="881" spans="1:11" x14ac:dyDescent="0.35">
      <c r="A881" s="73">
        <v>46140</v>
      </c>
      <c r="B881" t="s">
        <v>473</v>
      </c>
      <c r="C881" s="3">
        <v>528</v>
      </c>
      <c r="E881" s="3">
        <v>787259.87</v>
      </c>
      <c r="F881" t="str">
        <f>TEXT(Account_Data[[#This Row],[Date]],"mmm-yyyy")</f>
        <v>Apr-2026</v>
      </c>
      <c r="G881" t="str">
        <f>IF(Account_Data[[#This Row],[Credit]]&gt;0,"Income","Expense")</f>
        <v>Expense</v>
      </c>
      <c r="H88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1" s="3">
        <f>Account_Data[[#This Row],[Credit]]-Account_Data[[#This Row],[Debit]]</f>
        <v>-528</v>
      </c>
      <c r="J881" s="7">
        <f>EOMONTH(Account_Data[[#This Row],[Date]],0)</f>
        <v>46142</v>
      </c>
      <c r="K881">
        <f>ABS(Account_Data[[#This Row],[Amount]])</f>
        <v>528</v>
      </c>
    </row>
    <row r="882" spans="1:11" x14ac:dyDescent="0.35">
      <c r="A882" s="73">
        <v>46140</v>
      </c>
      <c r="B882" t="s">
        <v>474</v>
      </c>
      <c r="C882" s="3">
        <v>15</v>
      </c>
      <c r="E882" s="3">
        <v>787244.87</v>
      </c>
      <c r="F882" t="str">
        <f>TEXT(Account_Data[[#This Row],[Date]],"mmm-yyyy")</f>
        <v>Apr-2026</v>
      </c>
      <c r="G882" t="str">
        <f>IF(Account_Data[[#This Row],[Credit]]&gt;0,"Income","Expense")</f>
        <v>Expense</v>
      </c>
      <c r="H88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2" s="3">
        <f>Account_Data[[#This Row],[Credit]]-Account_Data[[#This Row],[Debit]]</f>
        <v>-15</v>
      </c>
      <c r="J882" s="7">
        <f>EOMONTH(Account_Data[[#This Row],[Date]],0)</f>
        <v>46142</v>
      </c>
      <c r="K882">
        <f>ABS(Account_Data[[#This Row],[Amount]])</f>
        <v>15</v>
      </c>
    </row>
    <row r="883" spans="1:11" x14ac:dyDescent="0.35">
      <c r="A883" s="73">
        <v>46141</v>
      </c>
      <c r="B883" t="s">
        <v>475</v>
      </c>
      <c r="C883" s="3">
        <v>10000</v>
      </c>
      <c r="E883" s="3">
        <v>777244.87</v>
      </c>
      <c r="F883" t="str">
        <f>TEXT(Account_Data[[#This Row],[Date]],"mmm-yyyy")</f>
        <v>Apr-2026</v>
      </c>
      <c r="G883" t="str">
        <f>IF(Account_Data[[#This Row],[Credit]]&gt;0,"Income","Expense")</f>
        <v>Expense</v>
      </c>
      <c r="H88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3" s="3">
        <f>Account_Data[[#This Row],[Credit]]-Account_Data[[#This Row],[Debit]]</f>
        <v>-10000</v>
      </c>
      <c r="J883" s="7">
        <f>EOMONTH(Account_Data[[#This Row],[Date]],0)</f>
        <v>46142</v>
      </c>
      <c r="K883">
        <f>ABS(Account_Data[[#This Row],[Amount]])</f>
        <v>10000</v>
      </c>
    </row>
    <row r="884" spans="1:11" x14ac:dyDescent="0.35">
      <c r="A884" s="73">
        <v>46142</v>
      </c>
      <c r="B884" t="s">
        <v>475</v>
      </c>
      <c r="C884" s="3">
        <v>10000</v>
      </c>
      <c r="E884" s="3">
        <v>767244.87</v>
      </c>
      <c r="F884" t="str">
        <f>TEXT(Account_Data[[#This Row],[Date]],"mmm-yyyy")</f>
        <v>Apr-2026</v>
      </c>
      <c r="G884" t="str">
        <f>IF(Account_Data[[#This Row],[Credit]]&gt;0,"Income","Expense")</f>
        <v>Expense</v>
      </c>
      <c r="H88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4" s="3">
        <f>Account_Data[[#This Row],[Credit]]-Account_Data[[#This Row],[Debit]]</f>
        <v>-10000</v>
      </c>
      <c r="J884" s="7">
        <f>EOMONTH(Account_Data[[#This Row],[Date]],0)</f>
        <v>46142</v>
      </c>
      <c r="K884">
        <f>ABS(Account_Data[[#This Row],[Amount]])</f>
        <v>10000</v>
      </c>
    </row>
    <row r="885" spans="1:11" x14ac:dyDescent="0.35">
      <c r="A885" s="73">
        <v>46142</v>
      </c>
      <c r="B885" t="s">
        <v>415</v>
      </c>
      <c r="C885" s="3">
        <v>3000</v>
      </c>
      <c r="E885" s="3">
        <v>764244.87</v>
      </c>
      <c r="F885" t="str">
        <f>TEXT(Account_Data[[#This Row],[Date]],"mmm-yyyy")</f>
        <v>Apr-2026</v>
      </c>
      <c r="G885" t="str">
        <f>IF(Account_Data[[#This Row],[Credit]]&gt;0,"Income","Expense")</f>
        <v>Expense</v>
      </c>
      <c r="H88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5" s="3">
        <f>Account_Data[[#This Row],[Credit]]-Account_Data[[#This Row],[Debit]]</f>
        <v>-3000</v>
      </c>
      <c r="J885" s="7">
        <f>EOMONTH(Account_Data[[#This Row],[Date]],0)</f>
        <v>46142</v>
      </c>
      <c r="K885">
        <f>ABS(Account_Data[[#This Row],[Amount]])</f>
        <v>3000</v>
      </c>
    </row>
    <row r="886" spans="1:11" x14ac:dyDescent="0.35">
      <c r="A886" s="73">
        <v>46142</v>
      </c>
      <c r="B886" t="s">
        <v>474</v>
      </c>
      <c r="C886" s="3">
        <v>15</v>
      </c>
      <c r="E886" s="3">
        <v>764229.87</v>
      </c>
      <c r="F886" t="str">
        <f>TEXT(Account_Data[[#This Row],[Date]],"mmm-yyyy")</f>
        <v>Apr-2026</v>
      </c>
      <c r="G886" t="str">
        <f>IF(Account_Data[[#This Row],[Credit]]&gt;0,"Income","Expense")</f>
        <v>Expense</v>
      </c>
      <c r="H88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6" s="3">
        <f>Account_Data[[#This Row],[Credit]]-Account_Data[[#This Row],[Debit]]</f>
        <v>-15</v>
      </c>
      <c r="J886" s="7">
        <f>EOMONTH(Account_Data[[#This Row],[Date]],0)</f>
        <v>46142</v>
      </c>
      <c r="K886">
        <f>ABS(Account_Data[[#This Row],[Amount]])</f>
        <v>15</v>
      </c>
    </row>
    <row r="887" spans="1:11" x14ac:dyDescent="0.35">
      <c r="A887" s="73">
        <v>46143</v>
      </c>
      <c r="B887" t="s">
        <v>140</v>
      </c>
      <c r="C887" s="3">
        <v>1000</v>
      </c>
      <c r="E887" s="3">
        <v>763229.87</v>
      </c>
      <c r="F887" t="str">
        <f>TEXT(Account_Data[[#This Row],[Date]],"mmm-yyyy")</f>
        <v>May-2026</v>
      </c>
      <c r="G887" t="str">
        <f>IF(Account_Data[[#This Row],[Credit]]&gt;0,"Income","Expense")</f>
        <v>Expense</v>
      </c>
      <c r="H88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887" s="3">
        <f>Account_Data[[#This Row],[Credit]]-Account_Data[[#This Row],[Debit]]</f>
        <v>-1000</v>
      </c>
      <c r="J887" s="7">
        <f>EOMONTH(Account_Data[[#This Row],[Date]],0)</f>
        <v>46173</v>
      </c>
      <c r="K887">
        <f>ABS(Account_Data[[#This Row],[Amount]])</f>
        <v>1000</v>
      </c>
    </row>
    <row r="888" spans="1:11" x14ac:dyDescent="0.35">
      <c r="A888" s="73">
        <v>46143</v>
      </c>
      <c r="B888" t="s">
        <v>417</v>
      </c>
      <c r="C888" s="3">
        <v>15</v>
      </c>
      <c r="E888" s="3">
        <v>763214.87</v>
      </c>
      <c r="F888" t="str">
        <f>TEXT(Account_Data[[#This Row],[Date]],"mmm-yyyy")</f>
        <v>May-2026</v>
      </c>
      <c r="G888" t="str">
        <f>IF(Account_Data[[#This Row],[Credit]]&gt;0,"Income","Expense")</f>
        <v>Expense</v>
      </c>
      <c r="H88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88" s="3">
        <f>Account_Data[[#This Row],[Credit]]-Account_Data[[#This Row],[Debit]]</f>
        <v>-15</v>
      </c>
      <c r="J888" s="7">
        <f>EOMONTH(Account_Data[[#This Row],[Date]],0)</f>
        <v>46173</v>
      </c>
      <c r="K888">
        <f>ABS(Account_Data[[#This Row],[Amount]])</f>
        <v>15</v>
      </c>
    </row>
    <row r="889" spans="1:11" x14ac:dyDescent="0.35">
      <c r="A889" s="73">
        <v>46144</v>
      </c>
      <c r="B889" t="s">
        <v>141</v>
      </c>
      <c r="C889" s="3">
        <v>7717</v>
      </c>
      <c r="E889" s="3">
        <v>755497.87</v>
      </c>
      <c r="F889" t="str">
        <f>TEXT(Account_Data[[#This Row],[Date]],"mmm-yyyy")</f>
        <v>May-2026</v>
      </c>
      <c r="G889" t="str">
        <f>IF(Account_Data[[#This Row],[Credit]]&gt;0,"Income","Expense")</f>
        <v>Expense</v>
      </c>
      <c r="H88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889" s="3">
        <f>Account_Data[[#This Row],[Credit]]-Account_Data[[#This Row],[Debit]]</f>
        <v>-7717</v>
      </c>
      <c r="J889" s="7">
        <f>EOMONTH(Account_Data[[#This Row],[Date]],0)</f>
        <v>46173</v>
      </c>
      <c r="K889">
        <f>ABS(Account_Data[[#This Row],[Amount]])</f>
        <v>7717</v>
      </c>
    </row>
    <row r="890" spans="1:11" x14ac:dyDescent="0.35">
      <c r="A890" s="73">
        <v>46144</v>
      </c>
      <c r="B890" t="s">
        <v>141</v>
      </c>
      <c r="C890" s="3">
        <v>8704</v>
      </c>
      <c r="E890" s="3">
        <v>746793.87</v>
      </c>
      <c r="F890" t="str">
        <f>TEXT(Account_Data[[#This Row],[Date]],"mmm-yyyy")</f>
        <v>May-2026</v>
      </c>
      <c r="G890" t="str">
        <f>IF(Account_Data[[#This Row],[Credit]]&gt;0,"Income","Expense")</f>
        <v>Expense</v>
      </c>
      <c r="H89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890" s="3">
        <f>Account_Data[[#This Row],[Credit]]-Account_Data[[#This Row],[Debit]]</f>
        <v>-8704</v>
      </c>
      <c r="J890" s="7">
        <f>EOMONTH(Account_Data[[#This Row],[Date]],0)</f>
        <v>46173</v>
      </c>
      <c r="K890">
        <f>ABS(Account_Data[[#This Row],[Amount]])</f>
        <v>8704</v>
      </c>
    </row>
    <row r="891" spans="1:11" x14ac:dyDescent="0.35">
      <c r="A891" s="73">
        <v>46144</v>
      </c>
      <c r="B891" t="s">
        <v>476</v>
      </c>
      <c r="C891" s="3">
        <v>15500</v>
      </c>
      <c r="E891" s="3">
        <v>731293.87</v>
      </c>
      <c r="F891" t="str">
        <f>TEXT(Account_Data[[#This Row],[Date]],"mmm-yyyy")</f>
        <v>May-2026</v>
      </c>
      <c r="G891" t="str">
        <f>IF(Account_Data[[#This Row],[Credit]]&gt;0,"Income","Expense")</f>
        <v>Expense</v>
      </c>
      <c r="H89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1" s="3">
        <f>Account_Data[[#This Row],[Credit]]-Account_Data[[#This Row],[Debit]]</f>
        <v>-15500</v>
      </c>
      <c r="J891" s="7">
        <f>EOMONTH(Account_Data[[#This Row],[Date]],0)</f>
        <v>46173</v>
      </c>
      <c r="K891">
        <f>ABS(Account_Data[[#This Row],[Amount]])</f>
        <v>15500</v>
      </c>
    </row>
    <row r="892" spans="1:11" x14ac:dyDescent="0.35">
      <c r="A892" s="73">
        <v>46144</v>
      </c>
      <c r="B892" t="s">
        <v>140</v>
      </c>
      <c r="C892" s="3">
        <v>1500</v>
      </c>
      <c r="E892" s="3">
        <v>729793.87</v>
      </c>
      <c r="F892" t="str">
        <f>TEXT(Account_Data[[#This Row],[Date]],"mmm-yyyy")</f>
        <v>May-2026</v>
      </c>
      <c r="G892" t="str">
        <f>IF(Account_Data[[#This Row],[Credit]]&gt;0,"Income","Expense")</f>
        <v>Expense</v>
      </c>
      <c r="H89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Investment (Outflow)</v>
      </c>
      <c r="I892" s="3">
        <f>Account_Data[[#This Row],[Credit]]-Account_Data[[#This Row],[Debit]]</f>
        <v>-1500</v>
      </c>
      <c r="J892" s="7">
        <f>EOMONTH(Account_Data[[#This Row],[Date]],0)</f>
        <v>46173</v>
      </c>
      <c r="K892">
        <f>ABS(Account_Data[[#This Row],[Amount]])</f>
        <v>1500</v>
      </c>
    </row>
    <row r="893" spans="1:11" x14ac:dyDescent="0.35">
      <c r="A893" s="73">
        <v>46144</v>
      </c>
      <c r="B893" t="s">
        <v>477</v>
      </c>
      <c r="C893" s="3">
        <v>1065.82</v>
      </c>
      <c r="E893" s="3">
        <v>728728.05</v>
      </c>
      <c r="F893" t="str">
        <f>TEXT(Account_Data[[#This Row],[Date]],"mmm-yyyy")</f>
        <v>May-2026</v>
      </c>
      <c r="G893" t="str">
        <f>IF(Account_Data[[#This Row],[Credit]]&gt;0,"Income","Expense")</f>
        <v>Expense</v>
      </c>
      <c r="H89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3" s="3">
        <f>Account_Data[[#This Row],[Credit]]-Account_Data[[#This Row],[Debit]]</f>
        <v>-1065.82</v>
      </c>
      <c r="J893" s="7">
        <f>EOMONTH(Account_Data[[#This Row],[Date]],0)</f>
        <v>46173</v>
      </c>
      <c r="K893">
        <f>ABS(Account_Data[[#This Row],[Amount]])</f>
        <v>1065.82</v>
      </c>
    </row>
    <row r="894" spans="1:11" x14ac:dyDescent="0.35">
      <c r="A894" s="73">
        <v>46145</v>
      </c>
      <c r="B894" t="s">
        <v>478</v>
      </c>
      <c r="C894" s="3">
        <v>340</v>
      </c>
      <c r="E894" s="3">
        <v>728388.05</v>
      </c>
      <c r="F894" t="str">
        <f>TEXT(Account_Data[[#This Row],[Date]],"mmm-yyyy")</f>
        <v>May-2026</v>
      </c>
      <c r="G894" t="str">
        <f>IF(Account_Data[[#This Row],[Credit]]&gt;0,"Income","Expense")</f>
        <v>Expense</v>
      </c>
      <c r="H89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4" s="3">
        <f>Account_Data[[#This Row],[Credit]]-Account_Data[[#This Row],[Debit]]</f>
        <v>-340</v>
      </c>
      <c r="J894" s="7">
        <f>EOMONTH(Account_Data[[#This Row],[Date]],0)</f>
        <v>46173</v>
      </c>
      <c r="K894">
        <f>ABS(Account_Data[[#This Row],[Amount]])</f>
        <v>340</v>
      </c>
    </row>
    <row r="895" spans="1:11" x14ac:dyDescent="0.35">
      <c r="A895" s="73">
        <v>46145</v>
      </c>
      <c r="B895" t="s">
        <v>479</v>
      </c>
      <c r="C895" s="3">
        <v>150</v>
      </c>
      <c r="E895" s="3">
        <v>728238.05</v>
      </c>
      <c r="F895" t="str">
        <f>TEXT(Account_Data[[#This Row],[Date]],"mmm-yyyy")</f>
        <v>May-2026</v>
      </c>
      <c r="G895" t="str">
        <f>IF(Account_Data[[#This Row],[Credit]]&gt;0,"Income","Expense")</f>
        <v>Expense</v>
      </c>
      <c r="H89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5" s="3">
        <f>Account_Data[[#This Row],[Credit]]-Account_Data[[#This Row],[Debit]]</f>
        <v>-150</v>
      </c>
      <c r="J895" s="7">
        <f>EOMONTH(Account_Data[[#This Row],[Date]],0)</f>
        <v>46173</v>
      </c>
      <c r="K895">
        <f>ABS(Account_Data[[#This Row],[Amount]])</f>
        <v>150</v>
      </c>
    </row>
    <row r="896" spans="1:11" x14ac:dyDescent="0.35">
      <c r="A896" s="73">
        <v>46145</v>
      </c>
      <c r="B896" t="s">
        <v>480</v>
      </c>
      <c r="C896" s="3">
        <v>2400</v>
      </c>
      <c r="E896" s="3">
        <v>725838.05</v>
      </c>
      <c r="F896" t="str">
        <f>TEXT(Account_Data[[#This Row],[Date]],"mmm-yyyy")</f>
        <v>May-2026</v>
      </c>
      <c r="G896" t="str">
        <f>IF(Account_Data[[#This Row],[Credit]]&gt;0,"Income","Expense")</f>
        <v>Expense</v>
      </c>
      <c r="H89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6" s="3">
        <f>Account_Data[[#This Row],[Credit]]-Account_Data[[#This Row],[Debit]]</f>
        <v>-2400</v>
      </c>
      <c r="J896" s="7">
        <f>EOMONTH(Account_Data[[#This Row],[Date]],0)</f>
        <v>46173</v>
      </c>
      <c r="K896">
        <f>ABS(Account_Data[[#This Row],[Amount]])</f>
        <v>2400</v>
      </c>
    </row>
    <row r="897" spans="1:11" x14ac:dyDescent="0.35">
      <c r="A897" s="73">
        <v>46145</v>
      </c>
      <c r="B897" t="s">
        <v>481</v>
      </c>
      <c r="C897" s="3">
        <v>710</v>
      </c>
      <c r="E897" s="3">
        <v>725128.05</v>
      </c>
      <c r="F897" t="str">
        <f>TEXT(Account_Data[[#This Row],[Date]],"mmm-yyyy")</f>
        <v>May-2026</v>
      </c>
      <c r="G897" t="str">
        <f>IF(Account_Data[[#This Row],[Credit]]&gt;0,"Income","Expense")</f>
        <v>Expense</v>
      </c>
      <c r="H89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7" s="3">
        <f>Account_Data[[#This Row],[Credit]]-Account_Data[[#This Row],[Debit]]</f>
        <v>-710</v>
      </c>
      <c r="J897" s="7">
        <f>EOMONTH(Account_Data[[#This Row],[Date]],0)</f>
        <v>46173</v>
      </c>
      <c r="K897">
        <f>ABS(Account_Data[[#This Row],[Amount]])</f>
        <v>710</v>
      </c>
    </row>
    <row r="898" spans="1:11" x14ac:dyDescent="0.35">
      <c r="A898" s="73">
        <v>46146</v>
      </c>
      <c r="B898" t="s">
        <v>482</v>
      </c>
      <c r="C898" s="3">
        <v>300</v>
      </c>
      <c r="E898" s="3">
        <v>724828.05</v>
      </c>
      <c r="F898" t="str">
        <f>TEXT(Account_Data[[#This Row],[Date]],"mmm-yyyy")</f>
        <v>May-2026</v>
      </c>
      <c r="G898" t="str">
        <f>IF(Account_Data[[#This Row],[Credit]]&gt;0,"Income","Expense")</f>
        <v>Expense</v>
      </c>
      <c r="H89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898" s="3">
        <f>Account_Data[[#This Row],[Credit]]-Account_Data[[#This Row],[Debit]]</f>
        <v>-300</v>
      </c>
      <c r="J898" s="7">
        <f>EOMONTH(Account_Data[[#This Row],[Date]],0)</f>
        <v>46173</v>
      </c>
      <c r="K898">
        <f>ABS(Account_Data[[#This Row],[Amount]])</f>
        <v>300</v>
      </c>
    </row>
    <row r="899" spans="1:11" x14ac:dyDescent="0.35">
      <c r="A899" s="73">
        <v>46146</v>
      </c>
      <c r="B899" t="s">
        <v>141</v>
      </c>
      <c r="C899" s="3">
        <v>60700</v>
      </c>
      <c r="E899" s="3">
        <v>664128.05000000005</v>
      </c>
      <c r="F899" t="str">
        <f>TEXT(Account_Data[[#This Row],[Date]],"mmm-yyyy")</f>
        <v>May-2026</v>
      </c>
      <c r="G899" t="str">
        <f>IF(Account_Data[[#This Row],[Credit]]&gt;0,"Income","Expense")</f>
        <v>Expense</v>
      </c>
      <c r="H89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899" s="3">
        <f>Account_Data[[#This Row],[Credit]]-Account_Data[[#This Row],[Debit]]</f>
        <v>-60700</v>
      </c>
      <c r="J899" s="7">
        <f>EOMONTH(Account_Data[[#This Row],[Date]],0)</f>
        <v>46173</v>
      </c>
      <c r="K899">
        <f>ABS(Account_Data[[#This Row],[Amount]])</f>
        <v>60700</v>
      </c>
    </row>
    <row r="900" spans="1:11" x14ac:dyDescent="0.35">
      <c r="A900" s="73">
        <v>46146</v>
      </c>
      <c r="B900" t="s">
        <v>141</v>
      </c>
      <c r="C900" s="3">
        <v>6280</v>
      </c>
      <c r="E900" s="3">
        <v>657848.05000000005</v>
      </c>
      <c r="F900" t="str">
        <f>TEXT(Account_Data[[#This Row],[Date]],"mmm-yyyy")</f>
        <v>May-2026</v>
      </c>
      <c r="G900" t="str">
        <f>IF(Account_Data[[#This Row],[Credit]]&gt;0,"Income","Expense")</f>
        <v>Expense</v>
      </c>
      <c r="H900"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0" s="3">
        <f>Account_Data[[#This Row],[Credit]]-Account_Data[[#This Row],[Debit]]</f>
        <v>-6280</v>
      </c>
      <c r="J900" s="7">
        <f>EOMONTH(Account_Data[[#This Row],[Date]],0)</f>
        <v>46173</v>
      </c>
      <c r="K900">
        <f>ABS(Account_Data[[#This Row],[Amount]])</f>
        <v>6280</v>
      </c>
    </row>
    <row r="901" spans="1:11" x14ac:dyDescent="0.35">
      <c r="A901" s="73">
        <v>46146</v>
      </c>
      <c r="B901" t="s">
        <v>139</v>
      </c>
      <c r="C901" s="3">
        <v>2000</v>
      </c>
      <c r="E901" s="3">
        <v>655848.05000000005</v>
      </c>
      <c r="F901" t="str">
        <f>TEXT(Account_Data[[#This Row],[Date]],"mmm-yyyy")</f>
        <v>May-2026</v>
      </c>
      <c r="G901" t="str">
        <f>IF(Account_Data[[#This Row],[Credit]]&gt;0,"Income","Expense")</f>
        <v>Expense</v>
      </c>
      <c r="H901"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1" s="3">
        <f>Account_Data[[#This Row],[Credit]]-Account_Data[[#This Row],[Debit]]</f>
        <v>-2000</v>
      </c>
      <c r="J901" s="7">
        <f>EOMONTH(Account_Data[[#This Row],[Date]],0)</f>
        <v>46173</v>
      </c>
      <c r="K901">
        <f>ABS(Account_Data[[#This Row],[Amount]])</f>
        <v>2000</v>
      </c>
    </row>
    <row r="902" spans="1:11" x14ac:dyDescent="0.35">
      <c r="A902" s="73">
        <v>46146</v>
      </c>
      <c r="B902" t="s">
        <v>139</v>
      </c>
      <c r="C902" s="3">
        <v>5000</v>
      </c>
      <c r="E902" s="3">
        <v>650848.05000000005</v>
      </c>
      <c r="F902" t="str">
        <f>TEXT(Account_Data[[#This Row],[Date]],"mmm-yyyy")</f>
        <v>May-2026</v>
      </c>
      <c r="G902" t="str">
        <f>IF(Account_Data[[#This Row],[Credit]]&gt;0,"Income","Expense")</f>
        <v>Expense</v>
      </c>
      <c r="H902"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2" s="3">
        <f>Account_Data[[#This Row],[Credit]]-Account_Data[[#This Row],[Debit]]</f>
        <v>-5000</v>
      </c>
      <c r="J902" s="7">
        <f>EOMONTH(Account_Data[[#This Row],[Date]],0)</f>
        <v>46173</v>
      </c>
      <c r="K902">
        <f>ABS(Account_Data[[#This Row],[Amount]])</f>
        <v>5000</v>
      </c>
    </row>
    <row r="903" spans="1:11" x14ac:dyDescent="0.35">
      <c r="A903" s="73">
        <v>46146</v>
      </c>
      <c r="B903" t="s">
        <v>139</v>
      </c>
      <c r="C903" s="3">
        <v>10000</v>
      </c>
      <c r="E903" s="3">
        <v>640848.05000000005</v>
      </c>
      <c r="F903" t="str">
        <f>TEXT(Account_Data[[#This Row],[Date]],"mmm-yyyy")</f>
        <v>May-2026</v>
      </c>
      <c r="G903" t="str">
        <f>IF(Account_Data[[#This Row],[Credit]]&gt;0,"Income","Expense")</f>
        <v>Expense</v>
      </c>
      <c r="H903"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3" s="3">
        <f>Account_Data[[#This Row],[Credit]]-Account_Data[[#This Row],[Debit]]</f>
        <v>-10000</v>
      </c>
      <c r="J903" s="7">
        <f>EOMONTH(Account_Data[[#This Row],[Date]],0)</f>
        <v>46173</v>
      </c>
      <c r="K903">
        <f>ABS(Account_Data[[#This Row],[Amount]])</f>
        <v>10000</v>
      </c>
    </row>
    <row r="904" spans="1:11" x14ac:dyDescent="0.35">
      <c r="A904" s="73">
        <v>46146</v>
      </c>
      <c r="B904" t="s">
        <v>139</v>
      </c>
      <c r="C904" s="3">
        <v>2000</v>
      </c>
      <c r="E904" s="3">
        <v>638848.05000000005</v>
      </c>
      <c r="F904" t="str">
        <f>TEXT(Account_Data[[#This Row],[Date]],"mmm-yyyy")</f>
        <v>May-2026</v>
      </c>
      <c r="G904" t="str">
        <f>IF(Account_Data[[#This Row],[Credit]]&gt;0,"Income","Expense")</f>
        <v>Expense</v>
      </c>
      <c r="H904"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4" s="3">
        <f>Account_Data[[#This Row],[Credit]]-Account_Data[[#This Row],[Debit]]</f>
        <v>-2000</v>
      </c>
      <c r="J904" s="7">
        <f>EOMONTH(Account_Data[[#This Row],[Date]],0)</f>
        <v>46173</v>
      </c>
      <c r="K904">
        <f>ABS(Account_Data[[#This Row],[Amount]])</f>
        <v>2000</v>
      </c>
    </row>
    <row r="905" spans="1:11" x14ac:dyDescent="0.35">
      <c r="A905" s="73">
        <v>46146</v>
      </c>
      <c r="B905" t="s">
        <v>139</v>
      </c>
      <c r="C905" s="3">
        <v>2000</v>
      </c>
      <c r="E905" s="3">
        <v>636848.05000000005</v>
      </c>
      <c r="F905" t="str">
        <f>TEXT(Account_Data[[#This Row],[Date]],"mmm-yyyy")</f>
        <v>May-2026</v>
      </c>
      <c r="G905" t="str">
        <f>IF(Account_Data[[#This Row],[Credit]]&gt;0,"Income","Expense")</f>
        <v>Expense</v>
      </c>
      <c r="H905"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5" s="3">
        <f>Account_Data[[#This Row],[Credit]]-Account_Data[[#This Row],[Debit]]</f>
        <v>-2000</v>
      </c>
      <c r="J905" s="7">
        <f>EOMONTH(Account_Data[[#This Row],[Date]],0)</f>
        <v>46173</v>
      </c>
      <c r="K905">
        <f>ABS(Account_Data[[#This Row],[Amount]])</f>
        <v>2000</v>
      </c>
    </row>
    <row r="906" spans="1:11" x14ac:dyDescent="0.35">
      <c r="A906" s="73">
        <v>46146</v>
      </c>
      <c r="B906" t="s">
        <v>139</v>
      </c>
      <c r="C906" s="3">
        <v>3000</v>
      </c>
      <c r="E906" s="3">
        <v>633848.05000000005</v>
      </c>
      <c r="F906" t="str">
        <f>TEXT(Account_Data[[#This Row],[Date]],"mmm-yyyy")</f>
        <v>May-2026</v>
      </c>
      <c r="G906" t="str">
        <f>IF(Account_Data[[#This Row],[Credit]]&gt;0,"Income","Expense")</f>
        <v>Expense</v>
      </c>
      <c r="H906"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EMI</v>
      </c>
      <c r="I906" s="3">
        <f>Account_Data[[#This Row],[Credit]]-Account_Data[[#This Row],[Debit]]</f>
        <v>-3000</v>
      </c>
      <c r="J906" s="7">
        <f>EOMONTH(Account_Data[[#This Row],[Date]],0)</f>
        <v>46173</v>
      </c>
      <c r="K906">
        <f>ABS(Account_Data[[#This Row],[Amount]])</f>
        <v>3000</v>
      </c>
    </row>
    <row r="907" spans="1:11" x14ac:dyDescent="0.35">
      <c r="A907" s="73">
        <v>46146</v>
      </c>
      <c r="B907" t="s">
        <v>483</v>
      </c>
      <c r="C907" s="3">
        <v>5039</v>
      </c>
      <c r="E907" s="3">
        <v>628809.05000000005</v>
      </c>
      <c r="F907" t="str">
        <f>TEXT(Account_Data[[#This Row],[Date]],"mmm-yyyy")</f>
        <v>May-2026</v>
      </c>
      <c r="G907" t="str">
        <f>IF(Account_Data[[#This Row],[Credit]]&gt;0,"Income","Expense")</f>
        <v>Expense</v>
      </c>
      <c r="H907"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07" s="3">
        <f>Account_Data[[#This Row],[Credit]]-Account_Data[[#This Row],[Debit]]</f>
        <v>-5039</v>
      </c>
      <c r="J907" s="7">
        <f>EOMONTH(Account_Data[[#This Row],[Date]],0)</f>
        <v>46173</v>
      </c>
      <c r="K907">
        <f>ABS(Account_Data[[#This Row],[Amount]])</f>
        <v>5039</v>
      </c>
    </row>
    <row r="908" spans="1:11" x14ac:dyDescent="0.35">
      <c r="A908" s="73">
        <v>46147</v>
      </c>
      <c r="B908" t="s">
        <v>444</v>
      </c>
      <c r="C908" s="3">
        <v>8000</v>
      </c>
      <c r="E908" s="3">
        <v>620809.05000000005</v>
      </c>
      <c r="F908" t="str">
        <f>TEXT(Account_Data[[#This Row],[Date]],"mmm-yyyy")</f>
        <v>May-2026</v>
      </c>
      <c r="G908" t="str">
        <f>IF(Account_Data[[#This Row],[Credit]]&gt;0,"Income","Expense")</f>
        <v>Expense</v>
      </c>
      <c r="H908"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Cash</v>
      </c>
      <c r="I908" s="3">
        <f>Account_Data[[#This Row],[Credit]]-Account_Data[[#This Row],[Debit]]</f>
        <v>-8000</v>
      </c>
      <c r="J908" s="7">
        <f>EOMONTH(Account_Data[[#This Row],[Date]],0)</f>
        <v>46173</v>
      </c>
      <c r="K908">
        <f>ABS(Account_Data[[#This Row],[Amount]])</f>
        <v>8000</v>
      </c>
    </row>
    <row r="909" spans="1:11" x14ac:dyDescent="0.35">
      <c r="A909" s="73">
        <v>46147</v>
      </c>
      <c r="B909" t="s">
        <v>484</v>
      </c>
      <c r="C909" s="3">
        <v>50</v>
      </c>
      <c r="E909" s="3">
        <v>620759.05000000005</v>
      </c>
      <c r="F909" t="str">
        <f>TEXT(Account_Data[[#This Row],[Date]],"mmm-yyyy")</f>
        <v>May-2026</v>
      </c>
      <c r="G909" t="str">
        <f>IF(Account_Data[[#This Row],[Credit]]&gt;0,"Income","Expense")</f>
        <v>Expense</v>
      </c>
      <c r="H909" t="str">
        <f>IF(AND(Account_Data[[#This Row],[Credit]]&gt;0,ISNUMBER(SEARCH("TFR",Account_Data[[#This Row],[Details]])),Account_Data[[#This Row],[Credit]]&gt;=200000),"Loan Taken", IF(AND(Account_Data[[#This Row],[Debit]]&gt;0,OR(ISNUMBER(SEARCH("ETMONEY",Account_Data[[#This Row],[Details]])),ISNUMBER(SEARCH("PGIM",Account_Data[[#This Row],[Details]])),ISNUMBER(SEARCH("CANARA",Account_Data[[#This Row],[Details]])))),"Investment (Outflow)", IF(AND(Account_Data[[#This Row],[Credit]]&gt;0,OR(ISNUMBER(SEARCH("PGIM",Account_Data[[#This Row],[Details]])),ISNUMBER(SEARCH("CANARA",Account_Data[[#This Row],[Details]])),ISNUMBER(SEARCH("MUTUAL",Account_Data[[#This Row],[Details]])))),"Investment Return", IF(OR(ISNUMBER(SEARCH("LOAN",Account_Data[[#This Row],[Details]])),ISNUMBER(SEARCH("RECOVERY",Account_Data[[#This Row],[Details]]))),"Loan Payment", IF(OR(ISNUMBER(SEARCH("SALARY",Account_Data[[#This Row],[Details]])),ISNUMBER(SEARCH("EMPLOYER DEP",Account_Data[[#This Row],[Details]]))),"Income", IF(OR(ISNUMBER(SEARCH("ACH",Account_Data[[#This Row],[Details]])),ISNUMBER(SEARCH("DIRECT DR",Account_Data[[#This Row],[Details]]))),"EMI", IF(ISNUMBER(SEARCH("ATM",Account_Data[[#This Row],[Details]])),"Cash", IF(ISNUMBER(SEARCH("UPI",Account_Data[[#This Row],[Details]])),"UPI Expense",IF(ISNUMBER(SEARCH("W TFR",Account_Data[[#This Row],[Details]])),"Transfer","Other")))))))))</f>
        <v>UPI Expense</v>
      </c>
      <c r="I909" s="3">
        <f>Account_Data[[#This Row],[Credit]]-Account_Data[[#This Row],[Debit]]</f>
        <v>-50</v>
      </c>
      <c r="J909" s="7">
        <f>EOMONTH(Account_Data[[#This Row],[Date]],0)</f>
        <v>46173</v>
      </c>
      <c r="K909">
        <f>ABS(Account_Data[[#This Row],[Amount]])</f>
        <v>50</v>
      </c>
    </row>
    <row r="911" spans="1:11" x14ac:dyDescent="0.35">
      <c r="I911" s="3">
        <f>SUM(Account_Data[[#Data],[#Totals],[Amount]])</f>
        <v>633703.87000000023</v>
      </c>
      <c r="K911" s="17">
        <f>SUM(Account_Data[[#Data],[#Totals],[Amount(Positive)]])</f>
        <v>9670046.549999997</v>
      </c>
    </row>
    <row r="915" spans="7:13" x14ac:dyDescent="0.35">
      <c r="G915" s="37"/>
      <c r="H915" s="38"/>
    </row>
    <row r="916" spans="7:13" x14ac:dyDescent="0.35">
      <c r="I916" s="3"/>
      <c r="M916">
        <v>135695.70000000001</v>
      </c>
    </row>
    <row r="917" spans="7:13" x14ac:dyDescent="0.35">
      <c r="M917">
        <v>107401</v>
      </c>
    </row>
    <row r="918" spans="7:13" x14ac:dyDescent="0.35">
      <c r="M918">
        <v>107401</v>
      </c>
    </row>
  </sheetData>
  <pageMargins left="0.7" right="0.7" top="0.75" bottom="0.75" header="0.3" footer="0.3"/>
  <pageSetup orientation="portrait" r:id="rId1"/>
  <ignoredErrors>
    <ignoredError sqref="H2"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8026-CE11-48F0-B369-3D70F408D8BE}">
  <sheetPr>
    <pageSetUpPr autoPageBreaks="0"/>
  </sheetPr>
  <dimension ref="A1:Y51"/>
  <sheetViews>
    <sheetView showGridLines="0" showRowColHeaders="0" topLeftCell="A3" zoomScale="64" zoomScaleNormal="48" workbookViewId="0">
      <selection activeCell="S6" sqref="S6:V6"/>
    </sheetView>
  </sheetViews>
  <sheetFormatPr defaultColWidth="8.7265625" defaultRowHeight="14.5" x14ac:dyDescent="0.35"/>
  <cols>
    <col min="1" max="23" width="8.54296875" style="9" customWidth="1"/>
    <col min="24" max="24" width="9.1796875" style="9" customWidth="1"/>
    <col min="25" max="25" width="10.26953125" style="9" bestFit="1" customWidth="1"/>
    <col min="26" max="16384" width="8.7265625" style="9"/>
  </cols>
  <sheetData>
    <row r="1" spans="1:25" ht="28" customHeight="1" x14ac:dyDescent="0.35">
      <c r="A1" s="12"/>
      <c r="B1" s="10"/>
      <c r="C1" s="81" t="s">
        <v>14</v>
      </c>
      <c r="D1" s="81"/>
      <c r="E1" s="81"/>
      <c r="F1" s="81"/>
      <c r="G1" s="81"/>
      <c r="H1" s="81"/>
      <c r="I1" s="81"/>
      <c r="J1" s="81"/>
      <c r="K1" s="81"/>
      <c r="L1" s="81"/>
      <c r="M1" s="81"/>
      <c r="N1" s="81"/>
      <c r="O1" s="81"/>
      <c r="P1" s="81"/>
      <c r="Q1" s="81"/>
      <c r="R1" s="81"/>
      <c r="S1" s="81"/>
      <c r="T1" s="81"/>
      <c r="U1" s="81"/>
      <c r="V1" s="81"/>
    </row>
    <row r="2" spans="1:25" ht="17.5" customHeight="1" x14ac:dyDescent="0.35">
      <c r="A2" s="12"/>
      <c r="B2" s="10"/>
      <c r="C2" s="81"/>
      <c r="D2" s="81"/>
      <c r="E2" s="81"/>
      <c r="F2" s="81"/>
      <c r="G2" s="81"/>
      <c r="H2" s="81"/>
      <c r="I2" s="81"/>
      <c r="J2" s="81"/>
      <c r="K2" s="81"/>
      <c r="L2" s="81"/>
      <c r="M2" s="81"/>
      <c r="N2" s="81"/>
      <c r="O2" s="81"/>
      <c r="P2" s="81"/>
      <c r="Q2" s="81"/>
      <c r="R2" s="81"/>
      <c r="S2" s="81"/>
      <c r="T2" s="81"/>
      <c r="U2" s="81"/>
      <c r="V2" s="81"/>
    </row>
    <row r="3" spans="1:25" ht="28" customHeight="1" x14ac:dyDescent="0.35">
      <c r="A3" s="10"/>
      <c r="B3" s="10"/>
    </row>
    <row r="4" spans="1:25" ht="10.5" customHeight="1" x14ac:dyDescent="0.35">
      <c r="A4" s="91"/>
      <c r="B4" s="92"/>
    </row>
    <row r="5" spans="1:25" ht="28" customHeight="1" x14ac:dyDescent="0.35">
      <c r="A5" s="92"/>
      <c r="B5" s="92"/>
      <c r="D5" s="111" t="s">
        <v>15</v>
      </c>
      <c r="E5" s="112"/>
      <c r="F5" s="112"/>
      <c r="G5" s="112"/>
      <c r="I5" s="111" t="s">
        <v>16</v>
      </c>
      <c r="J5" s="112"/>
      <c r="K5" s="112"/>
      <c r="L5" s="112"/>
      <c r="N5" s="119" t="s">
        <v>17</v>
      </c>
      <c r="O5" s="112"/>
      <c r="P5" s="112"/>
      <c r="Q5" s="112"/>
      <c r="S5" s="111" t="s">
        <v>18</v>
      </c>
      <c r="T5" s="112"/>
      <c r="U5" s="112"/>
      <c r="V5" s="112"/>
    </row>
    <row r="6" spans="1:25" ht="28" customHeight="1" x14ac:dyDescent="0.35">
      <c r="A6" s="79"/>
      <c r="B6" s="79"/>
      <c r="D6" s="113">
        <f>SUMIF(Data!H:H,"Income",Data!I:I)+SUMIF(Data!H:H,"Investment Return",Data!I:I)</f>
        <v>1864603.88</v>
      </c>
      <c r="E6" s="114"/>
      <c r="F6" s="114"/>
      <c r="G6" s="114"/>
      <c r="I6" s="113">
        <f>SUMIF(Data!H:H,"UPI",Data!K:K)+SUMIF(Data!H:H,"EMI",Data!K:K)+SUMIF(Data!H:H,"Cash",Data!K:K)+SUMIF(Data!H:H,"Transfer",Data!K:K)+SUMIF(Data!H:H,"Others",Data!K:K)+SUMIF(Data!H:H,"Loan Payment",Data!K:K)</f>
        <v>1906085.56</v>
      </c>
      <c r="J6" s="114"/>
      <c r="K6" s="114"/>
      <c r="L6" s="114"/>
      <c r="N6" s="120">
        <f>D6-I6</f>
        <v>-41481.680000000168</v>
      </c>
      <c r="O6" s="121"/>
      <c r="P6" s="121"/>
      <c r="Q6" s="121"/>
      <c r="S6" s="132">
        <f>COUNTA(Data!A:A)-1</f>
        <v>908</v>
      </c>
      <c r="T6" s="133"/>
      <c r="U6" s="133"/>
      <c r="V6" s="133"/>
    </row>
    <row r="7" spans="1:25" ht="28" customHeight="1" x14ac:dyDescent="0.35">
      <c r="A7" s="71"/>
      <c r="B7" s="71"/>
      <c r="D7" s="115" t="str">
        <f>"↑ Avg "&amp;TEXT(D6/14,"₹##,##,##0")&amp;"/mo"</f>
        <v>↑ Avg ₹1,33,186/mo</v>
      </c>
      <c r="E7" s="116"/>
      <c r="F7" s="116"/>
      <c r="G7" s="116"/>
      <c r="I7" s="115" t="str">
        <f>"Avg "&amp;TEXT(I6/14,"₹##,##,##0")&amp;"/mo"</f>
        <v>Avg ₹1,36,149/mo</v>
      </c>
      <c r="J7" s="116"/>
      <c r="K7" s="116"/>
      <c r="L7" s="116"/>
      <c r="N7" s="117" t="str">
        <f>"Avg "&amp;TEXT(N6/14,"₹##,##,##0")&amp;"/mo"</f>
        <v>Avg -₹2,963/mo</v>
      </c>
      <c r="O7" s="118"/>
      <c r="P7" s="118"/>
      <c r="Q7" s="118"/>
      <c r="S7" s="115" t="str">
        <f>"Avg "&amp;TEXT(S6/14,"0")&amp;" txns/mo"</f>
        <v>Avg 65 txns/mo</v>
      </c>
      <c r="T7" s="116"/>
      <c r="U7" s="116"/>
      <c r="V7" s="116"/>
      <c r="Y7" s="44"/>
    </row>
    <row r="8" spans="1:25" ht="28" customHeight="1" x14ac:dyDescent="0.35">
      <c r="A8" s="10"/>
      <c r="B8" s="10"/>
    </row>
    <row r="9" spans="1:25" ht="28" customHeight="1" x14ac:dyDescent="0.35">
      <c r="A9" s="80" t="e" vm="1">
        <v>#VALUE!</v>
      </c>
      <c r="B9" s="80"/>
    </row>
    <row r="10" spans="1:25" ht="28" customHeight="1" x14ac:dyDescent="0.35">
      <c r="A10" s="80"/>
      <c r="B10" s="80"/>
    </row>
    <row r="11" spans="1:25" ht="28" customHeight="1" x14ac:dyDescent="0.35">
      <c r="A11" s="79" t="s">
        <v>19</v>
      </c>
      <c r="B11" s="79"/>
    </row>
    <row r="12" spans="1:25" ht="28" customHeight="1" x14ac:dyDescent="0.35">
      <c r="A12" s="80" t="e" vm="2">
        <v>#VALUE!</v>
      </c>
      <c r="B12" s="80"/>
    </row>
    <row r="13" spans="1:25" ht="28" customHeight="1" x14ac:dyDescent="0.35">
      <c r="A13" s="80"/>
      <c r="B13" s="80"/>
    </row>
    <row r="14" spans="1:25" ht="28" customHeight="1" x14ac:dyDescent="0.35">
      <c r="A14" s="79" t="s">
        <v>20</v>
      </c>
      <c r="B14" s="79"/>
    </row>
    <row r="15" spans="1:25" ht="28" customHeight="1" x14ac:dyDescent="0.35">
      <c r="A15" s="80" t="e" vm="3">
        <v>#VALUE!</v>
      </c>
      <c r="B15" s="80"/>
    </row>
    <row r="16" spans="1:25" ht="28" customHeight="1" x14ac:dyDescent="0.35">
      <c r="A16" s="80"/>
      <c r="B16" s="80"/>
    </row>
    <row r="17" spans="1:2" ht="28" customHeight="1" x14ac:dyDescent="0.35">
      <c r="A17" s="79" t="s">
        <v>21</v>
      </c>
      <c r="B17" s="79"/>
    </row>
    <row r="18" spans="1:2" ht="28" customHeight="1" x14ac:dyDescent="0.35">
      <c r="A18" s="80" t="e" vm="4">
        <v>#VALUE!</v>
      </c>
      <c r="B18" s="80"/>
    </row>
    <row r="19" spans="1:2" ht="28" customHeight="1" x14ac:dyDescent="0.35">
      <c r="A19" s="80"/>
      <c r="B19" s="80"/>
    </row>
    <row r="20" spans="1:2" ht="28" customHeight="1" x14ac:dyDescent="0.35">
      <c r="A20" s="79" t="s">
        <v>22</v>
      </c>
      <c r="B20" s="79"/>
    </row>
    <row r="21" spans="1:2" ht="28" customHeight="1" x14ac:dyDescent="0.35">
      <c r="A21" s="80" t="e" vm="5">
        <v>#VALUE!</v>
      </c>
      <c r="B21" s="80"/>
    </row>
    <row r="22" spans="1:2" ht="28" customHeight="1" x14ac:dyDescent="0.35">
      <c r="A22" s="80"/>
      <c r="B22" s="80"/>
    </row>
    <row r="23" spans="1:2" ht="28" customHeight="1" x14ac:dyDescent="0.35">
      <c r="A23" s="79" t="s">
        <v>23</v>
      </c>
      <c r="B23" s="79"/>
    </row>
    <row r="24" spans="1:2" ht="28" customHeight="1" x14ac:dyDescent="0.35">
      <c r="A24" s="10"/>
      <c r="B24" s="10"/>
    </row>
    <row r="25" spans="1:2" ht="28" customHeight="1" x14ac:dyDescent="0.35">
      <c r="A25" s="10"/>
      <c r="B25" s="10"/>
    </row>
    <row r="26" spans="1:2" ht="28" customHeight="1" x14ac:dyDescent="0.35">
      <c r="A26" s="10"/>
      <c r="B26" s="10"/>
    </row>
    <row r="27" spans="1:2" ht="28" customHeight="1" x14ac:dyDescent="0.35">
      <c r="A27" s="10"/>
      <c r="B27" s="10"/>
    </row>
    <row r="28" spans="1:2" ht="28" customHeight="1" x14ac:dyDescent="0.35">
      <c r="A28" s="10"/>
      <c r="B28" s="10"/>
    </row>
    <row r="29" spans="1:2" ht="28" customHeight="1" x14ac:dyDescent="0.35">
      <c r="A29" s="10"/>
      <c r="B29" s="10"/>
    </row>
    <row r="30" spans="1:2" ht="28" customHeight="1" x14ac:dyDescent="0.35">
      <c r="A30" s="10"/>
      <c r="B30" s="10"/>
    </row>
    <row r="31" spans="1:2" ht="28" customHeight="1" x14ac:dyDescent="0.35">
      <c r="A31" s="10"/>
      <c r="B31" s="10"/>
    </row>
    <row r="32" spans="1:2" ht="28" customHeight="1" x14ac:dyDescent="0.35">
      <c r="A32" s="10"/>
      <c r="B32" s="10"/>
    </row>
    <row r="33" spans="1:2" ht="28" customHeight="1" x14ac:dyDescent="0.35">
      <c r="A33" s="10"/>
      <c r="B33" s="10"/>
    </row>
    <row r="34" spans="1:2" ht="28" customHeight="1" x14ac:dyDescent="0.35">
      <c r="A34" s="10"/>
      <c r="B34" s="10"/>
    </row>
    <row r="35" spans="1:2" ht="28" customHeight="1" x14ac:dyDescent="0.35">
      <c r="A35" s="10"/>
      <c r="B35" s="10"/>
    </row>
    <row r="36" spans="1:2" ht="28" customHeight="1" x14ac:dyDescent="0.35">
      <c r="A36" s="10"/>
      <c r="B36" s="10"/>
    </row>
    <row r="37" spans="1:2" ht="28" customHeight="1" x14ac:dyDescent="0.35">
      <c r="A37" s="10"/>
      <c r="B37" s="10"/>
    </row>
    <row r="38" spans="1:2" ht="28" customHeight="1" x14ac:dyDescent="0.35">
      <c r="A38" s="10"/>
      <c r="B38" s="10"/>
    </row>
    <row r="39" spans="1:2" ht="28" customHeight="1" x14ac:dyDescent="0.35">
      <c r="A39" s="10"/>
      <c r="B39" s="10"/>
    </row>
    <row r="40" spans="1:2" ht="28" customHeight="1" x14ac:dyDescent="0.35">
      <c r="A40" s="10"/>
      <c r="B40" s="10"/>
    </row>
    <row r="41" spans="1:2" ht="28" customHeight="1" x14ac:dyDescent="0.35">
      <c r="A41" s="10"/>
      <c r="B41" s="10"/>
    </row>
    <row r="42" spans="1:2" ht="28" customHeight="1" x14ac:dyDescent="0.35">
      <c r="A42" s="10"/>
      <c r="B42" s="10"/>
    </row>
    <row r="43" spans="1:2" ht="28" customHeight="1" x14ac:dyDescent="0.35">
      <c r="A43" s="10"/>
      <c r="B43" s="10"/>
    </row>
    <row r="44" spans="1:2" ht="28" customHeight="1" x14ac:dyDescent="0.35">
      <c r="A44" s="10"/>
      <c r="B44" s="10"/>
    </row>
    <row r="45" spans="1:2" ht="28" customHeight="1" x14ac:dyDescent="0.35">
      <c r="A45" s="10"/>
      <c r="B45" s="10"/>
    </row>
    <row r="46" spans="1:2" ht="28" customHeight="1" x14ac:dyDescent="0.35">
      <c r="A46" s="10"/>
      <c r="B46" s="10"/>
    </row>
    <row r="47" spans="1:2" ht="28" customHeight="1" x14ac:dyDescent="0.35">
      <c r="A47" s="10"/>
      <c r="B47" s="10"/>
    </row>
    <row r="48" spans="1:2" ht="28" customHeight="1" x14ac:dyDescent="0.35">
      <c r="A48" s="10"/>
      <c r="B48" s="10"/>
    </row>
    <row r="49" spans="1:2" ht="28" customHeight="1" x14ac:dyDescent="0.35">
      <c r="A49" s="10"/>
      <c r="B49" s="10"/>
    </row>
    <row r="50" spans="1:2" ht="28" customHeight="1" x14ac:dyDescent="0.35">
      <c r="A50" s="10"/>
      <c r="B50" s="10"/>
    </row>
    <row r="51" spans="1:2" ht="28" customHeight="1" x14ac:dyDescent="0.35">
      <c r="A51" s="10"/>
      <c r="B51" s="10"/>
    </row>
  </sheetData>
  <mergeCells count="25">
    <mergeCell ref="D7:G7"/>
    <mergeCell ref="I7:L7"/>
    <mergeCell ref="N7:Q7"/>
    <mergeCell ref="S7:V7"/>
    <mergeCell ref="I5:L5"/>
    <mergeCell ref="I6:L6"/>
    <mergeCell ref="N5:Q5"/>
    <mergeCell ref="N6:Q6"/>
    <mergeCell ref="D6:G6"/>
    <mergeCell ref="A4:B5"/>
    <mergeCell ref="A23:B23"/>
    <mergeCell ref="C1:V2"/>
    <mergeCell ref="A21:B22"/>
    <mergeCell ref="A11:B11"/>
    <mergeCell ref="A14:B14"/>
    <mergeCell ref="A17:B17"/>
    <mergeCell ref="A20:B20"/>
    <mergeCell ref="A9:B10"/>
    <mergeCell ref="A12:B13"/>
    <mergeCell ref="A15:B16"/>
    <mergeCell ref="A18:B19"/>
    <mergeCell ref="S5:V5"/>
    <mergeCell ref="S6:V6"/>
    <mergeCell ref="A6:B6"/>
    <mergeCell ref="D5:G5"/>
  </mergeCells>
  <hyperlinks>
    <hyperlink ref="A9:B10" location="Dashboard!A1" display="Dashboard!A1" xr:uid="{0DBC709B-D47C-48CB-9A78-3962F22F6A27}"/>
    <hyperlink ref="A12:B13" location="Overview!A1" display="Overview!A1" xr:uid="{6766E8DF-954A-4EAC-B0C4-A190B2F007D0}"/>
    <hyperlink ref="A15:B16" location="Income!A1" display="Income!A1" xr:uid="{C84A693A-FA19-43E3-AD91-B516C77F3A8B}"/>
    <hyperlink ref="A18:B19" location="Expense!A1" display="Expense!A1" xr:uid="{8B3D3911-6295-4F85-B1C5-3F91CA7B67FB}"/>
    <hyperlink ref="A21:B22" location="Trends!A1" display="Trends!A1" xr:uid="{E3F50ED1-5C00-4C80-9E7E-A3F9EA60A675}"/>
  </hyperlinks>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1069-9214-41DE-9A5A-2BD0F3BB1D2E}">
  <dimension ref="A1:T23"/>
  <sheetViews>
    <sheetView tabSelected="1" zoomScale="67" zoomScaleNormal="57" workbookViewId="0">
      <selection activeCell="W10" sqref="W10"/>
    </sheetView>
  </sheetViews>
  <sheetFormatPr defaultColWidth="8.7265625" defaultRowHeight="14.5" x14ac:dyDescent="0.35"/>
  <cols>
    <col min="1" max="3" width="8.54296875" style="9" customWidth="1"/>
    <col min="4" max="4" width="14.81640625" style="9" customWidth="1"/>
    <col min="5" max="5" width="18.453125" style="9" bestFit="1" customWidth="1"/>
    <col min="6" max="6" width="7.453125" style="9" bestFit="1" customWidth="1"/>
    <col min="7" max="7" width="9.1796875" style="9" bestFit="1" customWidth="1"/>
    <col min="8" max="12" width="8.54296875" style="9" customWidth="1"/>
    <col min="13" max="13" width="10.08984375" style="9" bestFit="1" customWidth="1"/>
    <col min="14" max="15" width="8.54296875" style="9" customWidth="1"/>
    <col min="16" max="16" width="9.1796875" style="9" bestFit="1" customWidth="1"/>
    <col min="17" max="23" width="8.54296875" style="9" customWidth="1"/>
    <col min="24" max="16384" width="8.7265625" style="9"/>
  </cols>
  <sheetData>
    <row r="1" spans="1:20" ht="28" customHeight="1" x14ac:dyDescent="0.35">
      <c r="A1" s="12"/>
      <c r="B1" s="10"/>
      <c r="C1" s="12"/>
      <c r="D1" s="81" t="s">
        <v>24</v>
      </c>
      <c r="E1" s="81"/>
      <c r="F1" s="81"/>
      <c r="G1" s="81"/>
      <c r="H1" s="81"/>
      <c r="I1" s="81"/>
      <c r="J1" s="81"/>
      <c r="K1" s="81"/>
      <c r="L1" s="81"/>
      <c r="M1" s="81"/>
      <c r="N1" s="81"/>
      <c r="O1" s="81"/>
      <c r="P1" s="81"/>
      <c r="Q1" s="81"/>
      <c r="R1" s="81"/>
      <c r="S1" s="81"/>
      <c r="T1" s="81"/>
    </row>
    <row r="2" spans="1:20" ht="16" customHeight="1" x14ac:dyDescent="0.35">
      <c r="A2" s="12"/>
      <c r="B2" s="10"/>
      <c r="D2" s="13"/>
      <c r="E2" s="13"/>
      <c r="F2" s="13"/>
      <c r="G2" s="13"/>
      <c r="H2" s="13"/>
      <c r="I2" s="13"/>
      <c r="J2" s="13"/>
      <c r="K2" s="13"/>
      <c r="L2" s="13"/>
      <c r="M2" s="13"/>
      <c r="N2" s="13"/>
      <c r="O2" s="13"/>
      <c r="P2" s="13"/>
      <c r="Q2" s="13"/>
      <c r="R2" s="13"/>
      <c r="S2" s="13"/>
      <c r="T2" s="13"/>
    </row>
    <row r="3" spans="1:20" ht="15" thickBot="1" x14ac:dyDescent="0.4">
      <c r="A3" s="10"/>
      <c r="B3" s="10"/>
    </row>
    <row r="4" spans="1:20" ht="24" thickBot="1" x14ac:dyDescent="0.4">
      <c r="A4" s="91"/>
      <c r="B4" s="92"/>
      <c r="D4" s="60"/>
      <c r="E4" s="95" t="s">
        <v>25</v>
      </c>
      <c r="F4" s="95"/>
      <c r="G4" s="95"/>
      <c r="H4" s="95"/>
      <c r="I4" s="61"/>
      <c r="L4" s="84" t="s">
        <v>26</v>
      </c>
      <c r="M4" s="85"/>
      <c r="N4" s="85"/>
      <c r="O4" s="85"/>
      <c r="P4" s="85"/>
      <c r="Q4" s="85"/>
      <c r="R4" s="85"/>
      <c r="S4" s="85"/>
      <c r="T4" s="86"/>
    </row>
    <row r="5" spans="1:20" ht="28" customHeight="1" x14ac:dyDescent="0.45">
      <c r="A5" s="92"/>
      <c r="B5" s="92"/>
      <c r="D5" s="62"/>
      <c r="E5" s="63" t="s">
        <v>27</v>
      </c>
      <c r="F5" s="64"/>
      <c r="G5" s="65" t="str">
        <f>TEXT((Dashboard!N6/Dashboard!D6)*100,"0.0")&amp;"%"</f>
        <v>-2.2%</v>
      </c>
      <c r="H5" s="48"/>
      <c r="I5" s="50"/>
      <c r="K5" s="42"/>
      <c r="L5" s="82" t="s">
        <v>28</v>
      </c>
      <c r="M5" s="82"/>
      <c r="N5" s="82"/>
      <c r="O5" s="82"/>
      <c r="P5" s="82"/>
      <c r="Q5" s="82"/>
      <c r="R5" s="82"/>
      <c r="S5" s="82"/>
      <c r="T5" s="83"/>
    </row>
    <row r="6" spans="1:20" ht="19" customHeight="1" x14ac:dyDescent="0.35">
      <c r="A6" s="79"/>
      <c r="B6" s="79"/>
      <c r="D6" s="62"/>
      <c r="E6" s="93" t="str">
        <f>REPT("█",MAX(0,MIN(20,ABS(Dashboard!N6/Dashboard!D6)*200)))</f>
        <v>████</v>
      </c>
      <c r="F6" s="93"/>
      <c r="G6" s="93"/>
      <c r="H6" s="93"/>
      <c r="I6" s="50"/>
      <c r="K6" s="42"/>
      <c r="L6" s="87" t="s">
        <v>29</v>
      </c>
      <c r="M6" s="87"/>
      <c r="N6" s="87"/>
      <c r="O6" s="87"/>
      <c r="P6" s="87"/>
      <c r="Q6" s="87"/>
      <c r="R6" s="87"/>
      <c r="S6" s="87"/>
      <c r="T6" s="88"/>
    </row>
    <row r="7" spans="1:20" ht="28" customHeight="1" thickBot="1" x14ac:dyDescent="0.5">
      <c r="A7" s="10"/>
      <c r="B7" s="10"/>
      <c r="D7" s="62"/>
      <c r="E7" s="63" t="s">
        <v>30</v>
      </c>
      <c r="F7" s="66"/>
      <c r="G7" s="67" t="str">
        <f>TEXT((Trends!E18/Dashboard!D6)*100,"0.0")&amp;"%"</f>
        <v>88.8%</v>
      </c>
      <c r="H7" s="48"/>
      <c r="I7" s="50"/>
      <c r="K7" s="43"/>
      <c r="L7" s="89"/>
      <c r="M7" s="89"/>
      <c r="N7" s="89"/>
      <c r="O7" s="89"/>
      <c r="P7" s="89"/>
      <c r="Q7" s="89"/>
      <c r="R7" s="89"/>
      <c r="S7" s="89"/>
      <c r="T7" s="90"/>
    </row>
    <row r="8" spans="1:20" ht="23.5" x14ac:dyDescent="0.35">
      <c r="A8" s="80" t="e" vm="1">
        <v>#VALUE!</v>
      </c>
      <c r="B8" s="80"/>
      <c r="D8" s="62"/>
      <c r="E8" s="94" t="str">
        <f>REPT("█",MAX(0,MIN(20,(Trends!E18/Dashboard!D6)*20)))</f>
        <v>█████████████████</v>
      </c>
      <c r="F8" s="94"/>
      <c r="G8" s="94"/>
      <c r="H8" s="94"/>
      <c r="I8" s="50"/>
      <c r="L8" s="99" t="s">
        <v>31</v>
      </c>
      <c r="M8" s="100"/>
      <c r="N8" s="100"/>
      <c r="O8" s="100"/>
      <c r="P8" s="100"/>
      <c r="Q8" s="100"/>
      <c r="R8" s="100"/>
      <c r="S8" s="100"/>
      <c r="T8" s="101"/>
    </row>
    <row r="9" spans="1:20" ht="28" customHeight="1" x14ac:dyDescent="0.45">
      <c r="A9" s="80"/>
      <c r="B9" s="80"/>
      <c r="D9" s="62"/>
      <c r="E9" s="63" t="s">
        <v>32</v>
      </c>
      <c r="F9" s="68"/>
      <c r="G9" s="65" t="str">
        <f>TEXT(((Dashboard!D6-Dashboard!I6)/Dashboard!D6)*100,"0.0")&amp;"%"</f>
        <v>-2.2%</v>
      </c>
      <c r="H9" s="48"/>
      <c r="I9" s="50"/>
      <c r="K9" s="40"/>
      <c r="L9" s="102" t="s">
        <v>33</v>
      </c>
      <c r="M9" s="87"/>
      <c r="N9" s="87"/>
      <c r="O9" s="87"/>
      <c r="P9" s="87"/>
      <c r="Q9" s="87"/>
      <c r="R9" s="87"/>
      <c r="S9" s="87"/>
      <c r="T9" s="88"/>
    </row>
    <row r="10" spans="1:20" ht="19" customHeight="1" thickBot="1" x14ac:dyDescent="0.4">
      <c r="A10" s="79" t="s">
        <v>19</v>
      </c>
      <c r="B10" s="79"/>
      <c r="D10" s="62"/>
      <c r="E10" s="93" t="str">
        <f>REPT("█",MAX(1,MIN(20,ABS(((Dashboard!D6-Dashboard!I6)/Dashboard!D6)*200))))</f>
        <v>████</v>
      </c>
      <c r="F10" s="93"/>
      <c r="G10" s="93"/>
      <c r="H10" s="93"/>
      <c r="I10" s="50"/>
      <c r="L10" s="103"/>
      <c r="M10" s="89"/>
      <c r="N10" s="89"/>
      <c r="O10" s="89"/>
      <c r="P10" s="89"/>
      <c r="Q10" s="89"/>
      <c r="R10" s="89"/>
      <c r="S10" s="89"/>
      <c r="T10" s="90"/>
    </row>
    <row r="11" spans="1:20" ht="28" customHeight="1" x14ac:dyDescent="0.45">
      <c r="A11" s="80" t="e" vm="2">
        <v>#VALUE!</v>
      </c>
      <c r="B11" s="80"/>
      <c r="D11" s="62"/>
      <c r="E11" s="69" t="s">
        <v>34</v>
      </c>
      <c r="F11" s="69"/>
      <c r="G11" s="69" t="str">
        <f>ROUND((MAX(0,ABS(Dashboard!N6/Dashboard!D6)*100)/10+(Trends!E18/Dashboard!D6)*10+MAX(1,ABS(((Dashboard!D6-Dashboard!I6)/Dashboard!D6)*10)))/3,1)&amp;" / 10"</f>
        <v>3.4 / 10</v>
      </c>
      <c r="H11" s="48"/>
      <c r="I11" s="50"/>
      <c r="K11" s="41"/>
      <c r="L11" s="104" t="s">
        <v>35</v>
      </c>
      <c r="M11" s="104"/>
      <c r="N11" s="104"/>
      <c r="O11" s="104"/>
      <c r="P11" s="104"/>
      <c r="Q11" s="104"/>
      <c r="R11" s="104"/>
      <c r="S11" s="104"/>
      <c r="T11" s="105"/>
    </row>
    <row r="12" spans="1:20" ht="28" customHeight="1" x14ac:dyDescent="0.45">
      <c r="A12" s="80"/>
      <c r="B12" s="80"/>
      <c r="D12" s="62"/>
      <c r="E12" s="48"/>
      <c r="F12" s="70"/>
      <c r="G12" s="70"/>
      <c r="H12" s="70"/>
      <c r="I12" s="50"/>
      <c r="K12" s="41"/>
      <c r="L12" s="87" t="s">
        <v>36</v>
      </c>
      <c r="M12" s="87"/>
      <c r="N12" s="87"/>
      <c r="O12" s="87"/>
      <c r="P12" s="87"/>
      <c r="Q12" s="87"/>
      <c r="R12" s="87"/>
      <c r="S12" s="87"/>
      <c r="T12" s="88"/>
    </row>
    <row r="13" spans="1:20" ht="28" customHeight="1" thickBot="1" x14ac:dyDescent="0.4">
      <c r="A13" s="79" t="s">
        <v>20</v>
      </c>
      <c r="B13" s="79"/>
      <c r="D13" s="62"/>
      <c r="E13" s="110" t="s">
        <v>37</v>
      </c>
      <c r="F13" s="110"/>
      <c r="G13" s="110"/>
      <c r="H13" s="110"/>
      <c r="I13" s="50"/>
      <c r="K13" s="41"/>
      <c r="L13" s="89"/>
      <c r="M13" s="89"/>
      <c r="N13" s="89"/>
      <c r="O13" s="89"/>
      <c r="P13" s="89"/>
      <c r="Q13" s="89"/>
      <c r="R13" s="89"/>
      <c r="S13" s="89"/>
      <c r="T13" s="90"/>
    </row>
    <row r="14" spans="1:20" ht="32.5" customHeight="1" x14ac:dyDescent="0.35">
      <c r="A14" s="80" t="e" vm="3">
        <v>#VALUE!</v>
      </c>
      <c r="B14" s="80"/>
      <c r="D14" s="62"/>
      <c r="E14" s="48"/>
      <c r="F14" s="48"/>
      <c r="G14" s="48"/>
      <c r="H14" s="48"/>
      <c r="I14" s="50"/>
      <c r="K14" s="42"/>
      <c r="L14" s="108" t="s">
        <v>38</v>
      </c>
      <c r="M14" s="108"/>
      <c r="N14" s="108"/>
      <c r="O14" s="108"/>
      <c r="P14" s="108"/>
      <c r="Q14" s="108"/>
      <c r="R14" s="108"/>
      <c r="S14" s="108"/>
      <c r="T14" s="109"/>
    </row>
    <row r="15" spans="1:20" ht="33.65" customHeight="1" thickBot="1" x14ac:dyDescent="0.4">
      <c r="A15" s="80"/>
      <c r="B15" s="80"/>
      <c r="D15" s="57"/>
      <c r="E15" s="58"/>
      <c r="F15" s="58"/>
      <c r="G15" s="58"/>
      <c r="H15" s="58"/>
      <c r="I15" s="59"/>
      <c r="K15" s="42"/>
      <c r="L15" s="106" t="s">
        <v>39</v>
      </c>
      <c r="M15" s="106"/>
      <c r="N15" s="106"/>
      <c r="O15" s="106"/>
      <c r="P15" s="106"/>
      <c r="Q15" s="106"/>
      <c r="R15" s="106"/>
      <c r="S15" s="106"/>
      <c r="T15" s="107"/>
    </row>
    <row r="16" spans="1:20" ht="28" customHeight="1" x14ac:dyDescent="0.35">
      <c r="A16" s="79" t="s">
        <v>21</v>
      </c>
      <c r="B16" s="79"/>
    </row>
    <row r="17" spans="1:20" ht="28" customHeight="1" x14ac:dyDescent="0.35">
      <c r="A17" s="80" t="e" vm="6">
        <v>#VALUE!</v>
      </c>
      <c r="B17" s="80"/>
      <c r="D17" s="96" t="s">
        <v>40</v>
      </c>
      <c r="E17" s="97"/>
      <c r="F17" s="97"/>
      <c r="G17" s="97"/>
      <c r="H17" s="97"/>
      <c r="I17" s="97"/>
      <c r="J17" s="97"/>
      <c r="K17" s="97"/>
      <c r="L17" s="97"/>
      <c r="M17" s="97"/>
      <c r="N17" s="97"/>
      <c r="O17" s="97"/>
      <c r="P17" s="97"/>
      <c r="Q17" s="97"/>
      <c r="R17" s="97"/>
      <c r="S17" s="97"/>
      <c r="T17" s="98"/>
    </row>
    <row r="18" spans="1:20" ht="28" customHeight="1" x14ac:dyDescent="0.45">
      <c r="A18" s="80"/>
      <c r="B18" s="80"/>
      <c r="D18" s="47">
        <v>45748</v>
      </c>
      <c r="E18" s="48"/>
      <c r="F18" s="48"/>
      <c r="G18" s="49">
        <v>45778</v>
      </c>
      <c r="H18" s="48"/>
      <c r="I18" s="48"/>
      <c r="J18" s="49">
        <v>45931</v>
      </c>
      <c r="K18" s="48"/>
      <c r="L18" s="48"/>
      <c r="M18" s="49">
        <v>45962</v>
      </c>
      <c r="N18" s="48"/>
      <c r="O18" s="48"/>
      <c r="P18" s="49">
        <v>46082</v>
      </c>
      <c r="Q18" s="48"/>
      <c r="R18" s="48"/>
      <c r="S18" s="49">
        <v>46113</v>
      </c>
      <c r="T18" s="50"/>
    </row>
    <row r="19" spans="1:20" ht="28" customHeight="1" thickBot="1" x14ac:dyDescent="0.4">
      <c r="A19" s="79" t="s">
        <v>22</v>
      </c>
      <c r="B19" s="79"/>
      <c r="D19" s="51"/>
      <c r="E19" s="45"/>
      <c r="F19" s="45"/>
      <c r="G19" s="45"/>
      <c r="H19" s="45"/>
      <c r="I19" s="45"/>
      <c r="J19" s="46"/>
      <c r="K19" s="45"/>
      <c r="L19" s="45"/>
      <c r="M19" s="45"/>
      <c r="N19" s="45"/>
      <c r="O19" s="45"/>
      <c r="P19" s="45"/>
      <c r="Q19" s="45"/>
      <c r="R19" s="45"/>
      <c r="S19" s="45"/>
      <c r="T19" s="52"/>
    </row>
    <row r="20" spans="1:20" ht="28" customHeight="1" thickTop="1" x14ac:dyDescent="0.35">
      <c r="A20" s="80" t="e" vm="5">
        <v>#VALUE!</v>
      </c>
      <c r="B20" s="80"/>
      <c r="D20" s="53" t="s">
        <v>41</v>
      </c>
      <c r="E20" s="48"/>
      <c r="F20" s="48"/>
      <c r="G20" s="54" t="s">
        <v>42</v>
      </c>
      <c r="H20" s="48"/>
      <c r="I20" s="48"/>
      <c r="J20" s="55" t="s">
        <v>43</v>
      </c>
      <c r="K20" s="48"/>
      <c r="L20" s="48"/>
      <c r="M20" s="56" t="s">
        <v>44</v>
      </c>
      <c r="N20" s="48"/>
      <c r="O20" s="48"/>
      <c r="P20" s="56" t="s">
        <v>45</v>
      </c>
      <c r="Q20" s="48"/>
      <c r="R20" s="48"/>
      <c r="S20" s="54" t="s">
        <v>46</v>
      </c>
      <c r="T20" s="50"/>
    </row>
    <row r="21" spans="1:20" ht="28" customHeight="1" x14ac:dyDescent="0.35">
      <c r="A21" s="80"/>
      <c r="B21" s="80"/>
      <c r="D21" s="77" t="s">
        <v>47</v>
      </c>
      <c r="E21" s="48"/>
      <c r="F21" s="78" t="s">
        <v>48</v>
      </c>
      <c r="G21" s="78"/>
      <c r="H21" s="48"/>
      <c r="I21" s="48"/>
      <c r="J21" s="75" t="s">
        <v>49</v>
      </c>
      <c r="K21" s="75"/>
      <c r="L21" s="48"/>
      <c r="M21" s="75" t="s">
        <v>50</v>
      </c>
      <c r="N21" s="75"/>
      <c r="O21" s="48"/>
      <c r="P21" s="75" t="s">
        <v>51</v>
      </c>
      <c r="Q21" s="75"/>
      <c r="R21" s="48"/>
      <c r="S21" s="75" t="s">
        <v>52</v>
      </c>
      <c r="T21" s="76"/>
    </row>
    <row r="22" spans="1:20" ht="28" customHeight="1" x14ac:dyDescent="0.35">
      <c r="A22" s="79" t="s">
        <v>23</v>
      </c>
      <c r="B22" s="79"/>
      <c r="D22" s="77"/>
      <c r="E22" s="48"/>
      <c r="F22" s="78"/>
      <c r="G22" s="78"/>
      <c r="H22" s="48"/>
      <c r="I22" s="48"/>
      <c r="J22" s="75"/>
      <c r="K22" s="75"/>
      <c r="L22" s="48"/>
      <c r="M22" s="75"/>
      <c r="N22" s="75"/>
      <c r="O22" s="48"/>
      <c r="P22" s="75"/>
      <c r="Q22" s="75"/>
      <c r="R22" s="48"/>
      <c r="S22" s="75"/>
      <c r="T22" s="76"/>
    </row>
    <row r="23" spans="1:20" ht="28" customHeight="1" x14ac:dyDescent="0.35">
      <c r="A23" s="10"/>
      <c r="B23" s="10"/>
      <c r="D23" s="57"/>
      <c r="E23" s="58"/>
      <c r="F23" s="58"/>
      <c r="G23" s="58"/>
      <c r="H23" s="58"/>
      <c r="I23" s="58"/>
      <c r="J23" s="58"/>
      <c r="K23" s="58"/>
      <c r="L23" s="58"/>
      <c r="M23" s="58"/>
      <c r="N23" s="58"/>
      <c r="O23" s="58"/>
      <c r="P23" s="58"/>
      <c r="Q23" s="58"/>
      <c r="R23" s="58"/>
      <c r="S23" s="58"/>
      <c r="T23" s="59"/>
    </row>
  </sheetData>
  <mergeCells count="34">
    <mergeCell ref="D17:T17"/>
    <mergeCell ref="L8:T8"/>
    <mergeCell ref="L9:T10"/>
    <mergeCell ref="L11:T11"/>
    <mergeCell ref="L15:T15"/>
    <mergeCell ref="L14:T14"/>
    <mergeCell ref="L12:T13"/>
    <mergeCell ref="E13:H13"/>
    <mergeCell ref="D1:T1"/>
    <mergeCell ref="L5:T5"/>
    <mergeCell ref="L4:T4"/>
    <mergeCell ref="L6:T7"/>
    <mergeCell ref="A11:B12"/>
    <mergeCell ref="A4:B5"/>
    <mergeCell ref="A6:B6"/>
    <mergeCell ref="A8:B9"/>
    <mergeCell ref="A10:B10"/>
    <mergeCell ref="E6:H6"/>
    <mergeCell ref="E8:H8"/>
    <mergeCell ref="E10:H10"/>
    <mergeCell ref="E4:H4"/>
    <mergeCell ref="A22:B22"/>
    <mergeCell ref="A13:B13"/>
    <mergeCell ref="A14:B15"/>
    <mergeCell ref="A16:B16"/>
    <mergeCell ref="A17:B18"/>
    <mergeCell ref="A19:B19"/>
    <mergeCell ref="A20:B21"/>
    <mergeCell ref="J21:K22"/>
    <mergeCell ref="M21:N22"/>
    <mergeCell ref="P21:Q22"/>
    <mergeCell ref="S21:T22"/>
    <mergeCell ref="D21:D22"/>
    <mergeCell ref="F21:G22"/>
  </mergeCells>
  <hyperlinks>
    <hyperlink ref="A8:B9" location="Dashboard!A1" display="Dashboard!A1" xr:uid="{7A5432EB-AE09-4E65-A65C-DFD88D85FE8B}"/>
    <hyperlink ref="A11:B12" location="Overview!A1" display="Overview!A1" xr:uid="{66FB4838-EC3C-4E7C-B6B0-5D95BA02B1F5}"/>
    <hyperlink ref="A14:B15" location="Income!A1" display="Income!A1" xr:uid="{6F84D14F-8A41-4D8D-9DB6-AFAE3B5BCE3F}"/>
    <hyperlink ref="A17:B18" location="Expense!A1" display="Expense!A1" xr:uid="{878AD035-B773-481C-B223-30AE303EC087}"/>
    <hyperlink ref="A20:B21" location="Trends!A1" display="Trends!A1" xr:uid="{F287FB02-28FC-494C-867C-598950F105B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F23E-CE5A-496B-97D9-5EC03C05D76E}">
  <dimension ref="A1:T24"/>
  <sheetViews>
    <sheetView showGridLines="0" showRowColHeaders="0" topLeftCell="A7" zoomScale="63" zoomScaleNormal="63" workbookViewId="0">
      <selection activeCell="D23" sqref="D23:T23"/>
    </sheetView>
  </sheetViews>
  <sheetFormatPr defaultColWidth="8.7265625" defaultRowHeight="14.5" x14ac:dyDescent="0.35"/>
  <cols>
    <col min="1" max="3" width="8.54296875" style="9" customWidth="1"/>
    <col min="4" max="4" width="9.7265625" style="9" customWidth="1"/>
    <col min="5" max="5" width="8.54296875" style="9" customWidth="1"/>
    <col min="6" max="6" width="16.1796875" style="9" bestFit="1" customWidth="1"/>
    <col min="7" max="7" width="8.54296875" style="9" customWidth="1"/>
    <col min="8" max="8" width="22.1796875" style="9" bestFit="1" customWidth="1"/>
    <col min="9" max="9" width="15.1796875" style="9" bestFit="1" customWidth="1"/>
    <col min="10" max="21" width="8.54296875" style="9" customWidth="1"/>
    <col min="22" max="16384" width="8.7265625" style="9"/>
  </cols>
  <sheetData>
    <row r="1" spans="1:20" ht="28" customHeight="1" x14ac:dyDescent="0.35">
      <c r="A1" s="12"/>
      <c r="B1" s="10"/>
      <c r="C1" s="12"/>
      <c r="D1" s="81" t="s">
        <v>53</v>
      </c>
      <c r="E1" s="81"/>
      <c r="F1" s="81"/>
      <c r="G1" s="81"/>
      <c r="H1" s="81"/>
      <c r="I1" s="81"/>
      <c r="J1" s="81"/>
      <c r="K1" s="81"/>
      <c r="L1" s="81"/>
      <c r="M1" s="81"/>
      <c r="N1" s="81"/>
      <c r="O1" s="81"/>
      <c r="P1" s="81"/>
      <c r="Q1" s="81"/>
      <c r="R1" s="81"/>
      <c r="S1" s="81"/>
      <c r="T1" s="12"/>
    </row>
    <row r="2" spans="1:20" ht="16" customHeight="1" x14ac:dyDescent="0.35">
      <c r="A2" s="12"/>
      <c r="B2" s="10"/>
      <c r="D2" s="126" t="s">
        <v>54</v>
      </c>
      <c r="E2" s="126"/>
      <c r="F2" s="126"/>
      <c r="G2" s="126"/>
      <c r="H2" s="126"/>
      <c r="I2" s="126"/>
      <c r="J2" s="126"/>
      <c r="K2" s="126"/>
      <c r="L2" s="126"/>
      <c r="M2" s="126"/>
      <c r="N2" s="126"/>
      <c r="O2" s="126"/>
      <c r="P2" s="126"/>
      <c r="Q2" s="126"/>
      <c r="R2" s="126"/>
      <c r="S2" s="126"/>
      <c r="T2" s="21"/>
    </row>
    <row r="3" spans="1:20" ht="10.5" customHeight="1" x14ac:dyDescent="0.35">
      <c r="A3" s="12"/>
      <c r="B3" s="10"/>
    </row>
    <row r="4" spans="1:20" ht="16" customHeight="1" x14ac:dyDescent="0.35">
      <c r="A4" s="12"/>
      <c r="B4" s="10"/>
    </row>
    <row r="5" spans="1:20" ht="28" customHeight="1" x14ac:dyDescent="0.35">
      <c r="A5" s="91"/>
      <c r="B5" s="92"/>
      <c r="D5" s="20" t="s">
        <v>0</v>
      </c>
      <c r="E5" s="20"/>
      <c r="F5" s="20" t="s">
        <v>55</v>
      </c>
      <c r="G5" s="21"/>
      <c r="H5" s="20" t="s">
        <v>56</v>
      </c>
      <c r="I5" s="20" t="s">
        <v>15</v>
      </c>
    </row>
    <row r="6" spans="1:20" ht="28" customHeight="1" x14ac:dyDescent="0.35">
      <c r="A6" s="92"/>
      <c r="B6" s="92"/>
      <c r="D6" s="27">
        <v>45777</v>
      </c>
      <c r="F6" s="28">
        <f>SUMIFS(Data!I:I,Data!H:H,"Income",Data!J:J,D6)</f>
        <v>236880</v>
      </c>
      <c r="H6" s="28">
        <f>SUMIFS(Data!I:I,Data!H:H,"Investment Return",Data!J:J,D6)</f>
        <v>74924.479999999996</v>
      </c>
      <c r="I6" s="28">
        <f t="shared" ref="I6:I19" si="0">F6+H6</f>
        <v>311804.48</v>
      </c>
    </row>
    <row r="7" spans="1:20" ht="28" customHeight="1" x14ac:dyDescent="0.35">
      <c r="A7" s="79"/>
      <c r="B7" s="79"/>
      <c r="D7" s="29">
        <v>45808</v>
      </c>
      <c r="E7" s="13"/>
      <c r="F7" s="30">
        <f>SUMIFS(Data!I:I,Data!H:H,"Income",Data!J:J,D7)</f>
        <v>113225</v>
      </c>
      <c r="G7" s="13"/>
      <c r="H7" s="30">
        <f>SUMIFS(Data!I:I,Data!H:H,"Investment Return",Data!J:J,D7)</f>
        <v>115871.78</v>
      </c>
      <c r="I7" s="30">
        <f t="shared" si="0"/>
        <v>229096.78</v>
      </c>
    </row>
    <row r="8" spans="1:20" ht="28" customHeight="1" x14ac:dyDescent="0.35">
      <c r="A8" s="10"/>
      <c r="B8" s="10"/>
      <c r="D8" s="27">
        <v>45838</v>
      </c>
      <c r="F8" s="28">
        <f>SUMIFS(Data!I:I,Data!H:H,"Income",Data!J:J,D8)</f>
        <v>112936</v>
      </c>
      <c r="H8" s="28">
        <f>SUMIFS(Data!I:I,Data!H:H,"Investment Return",Data!J:J,D8)</f>
        <v>0</v>
      </c>
      <c r="I8" s="28">
        <f t="shared" si="0"/>
        <v>112936</v>
      </c>
    </row>
    <row r="9" spans="1:20" ht="28" customHeight="1" x14ac:dyDescent="0.35">
      <c r="A9" s="80" t="e" vm="1">
        <v>#VALUE!</v>
      </c>
      <c r="B9" s="80"/>
      <c r="D9" s="29">
        <v>45869</v>
      </c>
      <c r="E9" s="13"/>
      <c r="F9" s="30">
        <f>SUMIFS(Data!I:I,Data!H:H,"Income",Data!J:J,D9)</f>
        <v>112701</v>
      </c>
      <c r="G9" s="13"/>
      <c r="H9" s="30">
        <f>SUMIFS(Data!I:I,Data!H:H,"Investment Return",Data!J:J,D9)</f>
        <v>0</v>
      </c>
      <c r="I9" s="30">
        <f t="shared" si="0"/>
        <v>112701</v>
      </c>
    </row>
    <row r="10" spans="1:20" ht="28" customHeight="1" x14ac:dyDescent="0.35">
      <c r="A10" s="80"/>
      <c r="B10" s="80"/>
      <c r="D10" s="27">
        <v>45900</v>
      </c>
      <c r="F10" s="28">
        <f>SUMIFS(Data!I:I,Data!H:H,"Income",Data!J:J,D10)</f>
        <v>129908</v>
      </c>
      <c r="H10" s="28">
        <f>SUMIFS(Data!I:I,Data!H:H,"Investment Return",Data!J:J,D10)</f>
        <v>0</v>
      </c>
      <c r="I10" s="28">
        <f t="shared" si="0"/>
        <v>129908</v>
      </c>
    </row>
    <row r="11" spans="1:20" ht="28" customHeight="1" x14ac:dyDescent="0.35">
      <c r="A11" s="79" t="s">
        <v>19</v>
      </c>
      <c r="B11" s="79"/>
      <c r="D11" s="29">
        <v>45930</v>
      </c>
      <c r="E11" s="13"/>
      <c r="F11" s="30">
        <f>SUMIFS(Data!I:I,Data!H:H,"Income",Data!J:J,D11)</f>
        <v>130474</v>
      </c>
      <c r="G11" s="13"/>
      <c r="H11" s="30">
        <f>SUMIFS(Data!I:I,Data!H:H,"Investment Return",Data!J:J,D11)</f>
        <v>17509.62</v>
      </c>
      <c r="I11" s="30">
        <f t="shared" si="0"/>
        <v>147983.62</v>
      </c>
    </row>
    <row r="12" spans="1:20" ht="28" customHeight="1" x14ac:dyDescent="0.35">
      <c r="A12" s="80" t="e" vm="2">
        <v>#VALUE!</v>
      </c>
      <c r="B12" s="80"/>
      <c r="D12" s="27">
        <v>45961</v>
      </c>
      <c r="F12" s="28">
        <f>SUMIFS(Data!I:I,Data!H:H,"Income",Data!J:J,D12)</f>
        <v>125379</v>
      </c>
      <c r="H12" s="28">
        <f>SUMIFS(Data!I:I,Data!H:H,"Investment Return",Data!J:J,D12)</f>
        <v>0</v>
      </c>
      <c r="I12" s="28">
        <f t="shared" si="0"/>
        <v>125379</v>
      </c>
    </row>
    <row r="13" spans="1:20" ht="28" customHeight="1" x14ac:dyDescent="0.35">
      <c r="A13" s="80"/>
      <c r="B13" s="80"/>
      <c r="D13" s="29">
        <v>45991</v>
      </c>
      <c r="E13" s="13"/>
      <c r="F13" s="30">
        <f>SUMIFS(Data!I:I,Data!H:H,"Income",Data!J:J,D13)</f>
        <v>109796</v>
      </c>
      <c r="G13" s="13"/>
      <c r="H13" s="30">
        <f>SUMIFS(Data!I:I,Data!H:H,"Investment Return",Data!J:J,D13)</f>
        <v>0</v>
      </c>
      <c r="I13" s="30">
        <f t="shared" si="0"/>
        <v>109796</v>
      </c>
    </row>
    <row r="14" spans="1:20" ht="28" customHeight="1" x14ac:dyDescent="0.35">
      <c r="A14" s="79" t="s">
        <v>20</v>
      </c>
      <c r="B14" s="79"/>
      <c r="D14" s="27">
        <v>46022</v>
      </c>
      <c r="F14" s="28">
        <f>SUMIFS(Data!I:I,Data!H:H,"Income",Data!J:J,D14)</f>
        <v>114065</v>
      </c>
      <c r="H14" s="28">
        <f>SUMIFS(Data!I:I,Data!H:H,"Investment Return",Data!J:J,D14)</f>
        <v>0</v>
      </c>
      <c r="I14" s="28">
        <f t="shared" si="0"/>
        <v>114065</v>
      </c>
    </row>
    <row r="15" spans="1:20" ht="28" customHeight="1" x14ac:dyDescent="0.35">
      <c r="A15" s="80" t="e" vm="3">
        <v>#VALUE!</v>
      </c>
      <c r="B15" s="80"/>
      <c r="D15" s="29">
        <v>46053</v>
      </c>
      <c r="E15" s="13"/>
      <c r="F15" s="30">
        <f>SUMIFS(Data!I:I,Data!H:H,"Income",Data!J:J,D15)</f>
        <v>116002</v>
      </c>
      <c r="G15" s="13"/>
      <c r="H15" s="30">
        <f>SUMIFS(Data!I:I,Data!H:H,"Investment Return",Data!J:J,D15)</f>
        <v>0</v>
      </c>
      <c r="I15" s="30">
        <f t="shared" si="0"/>
        <v>116002</v>
      </c>
    </row>
    <row r="16" spans="1:20" ht="28" customHeight="1" x14ac:dyDescent="0.35">
      <c r="A16" s="80"/>
      <c r="B16" s="80"/>
      <c r="D16" s="27">
        <v>46081</v>
      </c>
      <c r="F16" s="28">
        <f>SUMIFS(Data!I:I,Data!H:H,"Income",Data!J:J,D16)</f>
        <v>114840</v>
      </c>
      <c r="H16" s="28">
        <f>SUMIFS(Data!I:I,Data!H:H,"Investment Return",Data!J:J,D16)</f>
        <v>0</v>
      </c>
      <c r="I16" s="28">
        <f t="shared" si="0"/>
        <v>114840</v>
      </c>
    </row>
    <row r="17" spans="1:20" ht="28" customHeight="1" x14ac:dyDescent="0.35">
      <c r="A17" s="79" t="s">
        <v>21</v>
      </c>
      <c r="B17" s="79"/>
      <c r="D17" s="29">
        <v>46112</v>
      </c>
      <c r="E17" s="13"/>
      <c r="F17" s="30">
        <f>SUMIFS(Data!I:I,Data!H:H,"Income",Data!J:J,D17)</f>
        <v>0</v>
      </c>
      <c r="G17" s="13"/>
      <c r="H17" s="30">
        <f>SUMIFS(Data!I:I,Data!H:H,"Investment Return",Data!J:J,D17)</f>
        <v>0</v>
      </c>
      <c r="I17" s="30">
        <f t="shared" si="0"/>
        <v>0</v>
      </c>
    </row>
    <row r="18" spans="1:20" ht="28" customHeight="1" x14ac:dyDescent="0.35">
      <c r="A18" s="80" t="e" vm="6">
        <v>#VALUE!</v>
      </c>
      <c r="B18" s="80"/>
      <c r="D18" s="27">
        <v>46142</v>
      </c>
      <c r="F18" s="28">
        <f>SUMIFS(Data!I:I,Data!H:H,"Income",Data!J:J,D18)</f>
        <v>240092</v>
      </c>
      <c r="H18" s="28">
        <f>SUMIFS(Data!I:I,Data!H:H,"Investment Return",Data!J:J,D18)</f>
        <v>0</v>
      </c>
      <c r="I18" s="28">
        <f t="shared" si="0"/>
        <v>240092</v>
      </c>
    </row>
    <row r="19" spans="1:20" ht="28" customHeight="1" x14ac:dyDescent="0.35">
      <c r="A19" s="80"/>
      <c r="B19" s="80"/>
      <c r="D19" s="29">
        <v>46173</v>
      </c>
      <c r="E19" s="13"/>
      <c r="F19" s="30">
        <f>SUMIFS(Data!I:I,Data!H:H,"Income",Data!J:J,D19)</f>
        <v>0</v>
      </c>
      <c r="G19" s="13"/>
      <c r="H19" s="30">
        <f>SUMIFS(Data!I:I,Data!H:H,"Investment Return",Data!J:J,D19)</f>
        <v>0</v>
      </c>
      <c r="I19" s="30">
        <f t="shared" si="0"/>
        <v>0</v>
      </c>
    </row>
    <row r="20" spans="1:20" ht="28" customHeight="1" x14ac:dyDescent="0.35">
      <c r="A20" s="79" t="s">
        <v>22</v>
      </c>
      <c r="B20" s="79"/>
      <c r="D20" s="122" t="s">
        <v>26</v>
      </c>
      <c r="E20" s="122"/>
      <c r="F20" s="122"/>
      <c r="G20" s="122"/>
      <c r="H20" s="122"/>
      <c r="I20" s="122"/>
      <c r="J20" s="122"/>
      <c r="K20" s="122"/>
      <c r="L20" s="122"/>
      <c r="M20" s="122"/>
      <c r="N20" s="122"/>
      <c r="O20" s="122"/>
      <c r="P20" s="122"/>
      <c r="Q20" s="122"/>
      <c r="R20" s="122"/>
      <c r="S20" s="122"/>
      <c r="T20" s="122"/>
    </row>
    <row r="21" spans="1:20" ht="28" customHeight="1" x14ac:dyDescent="0.35">
      <c r="A21" s="80" t="e" vm="5">
        <v>#VALUE!</v>
      </c>
      <c r="B21" s="80"/>
      <c r="D21" s="123" t="s">
        <v>57</v>
      </c>
      <c r="E21" s="123"/>
      <c r="F21" s="123"/>
      <c r="G21" s="123"/>
      <c r="H21" s="123"/>
      <c r="I21" s="123"/>
      <c r="J21" s="123"/>
      <c r="K21" s="123"/>
      <c r="L21" s="123"/>
      <c r="M21" s="123"/>
      <c r="N21" s="123"/>
      <c r="O21" s="123"/>
      <c r="P21" s="123"/>
      <c r="Q21" s="123"/>
      <c r="R21" s="123"/>
      <c r="S21" s="123"/>
      <c r="T21" s="123"/>
    </row>
    <row r="22" spans="1:20" ht="28" customHeight="1" x14ac:dyDescent="0.35">
      <c r="A22" s="80"/>
      <c r="B22" s="80"/>
      <c r="D22" s="124" t="s">
        <v>58</v>
      </c>
      <c r="E22" s="125"/>
      <c r="F22" s="125"/>
      <c r="G22" s="125"/>
      <c r="H22" s="125"/>
      <c r="I22" s="125"/>
      <c r="J22" s="125"/>
      <c r="K22" s="125"/>
      <c r="L22" s="125"/>
      <c r="M22" s="125"/>
      <c r="N22" s="125"/>
      <c r="O22" s="125"/>
      <c r="P22" s="125"/>
      <c r="Q22" s="125"/>
      <c r="R22" s="125"/>
      <c r="S22" s="125"/>
      <c r="T22" s="125"/>
    </row>
    <row r="23" spans="1:20" ht="28" customHeight="1" x14ac:dyDescent="0.35">
      <c r="A23" s="79" t="s">
        <v>23</v>
      </c>
      <c r="B23" s="79"/>
      <c r="D23" s="123" t="s">
        <v>501</v>
      </c>
      <c r="E23" s="123"/>
      <c r="F23" s="123"/>
      <c r="G23" s="123"/>
      <c r="H23" s="123"/>
      <c r="I23" s="123"/>
      <c r="J23" s="123"/>
      <c r="K23" s="123"/>
      <c r="L23" s="123"/>
      <c r="M23" s="123"/>
      <c r="N23" s="123"/>
      <c r="O23" s="123"/>
      <c r="P23" s="123"/>
      <c r="Q23" s="123"/>
      <c r="R23" s="123"/>
      <c r="S23" s="123"/>
      <c r="T23" s="123"/>
    </row>
    <row r="24" spans="1:20" ht="28" customHeight="1" x14ac:dyDescent="0.35">
      <c r="A24" s="10"/>
      <c r="B24" s="10"/>
      <c r="D24" s="124" t="s">
        <v>59</v>
      </c>
      <c r="E24" s="125"/>
      <c r="F24" s="125"/>
      <c r="G24" s="125"/>
      <c r="H24" s="125"/>
      <c r="I24" s="125"/>
      <c r="J24" s="125"/>
      <c r="K24" s="125"/>
      <c r="L24" s="125"/>
      <c r="M24" s="125"/>
      <c r="N24" s="125"/>
      <c r="O24" s="125"/>
      <c r="P24" s="125"/>
      <c r="Q24" s="125"/>
      <c r="R24" s="125"/>
      <c r="S24" s="125"/>
      <c r="T24" s="125"/>
    </row>
  </sheetData>
  <mergeCells count="19">
    <mergeCell ref="D23:T23"/>
    <mergeCell ref="D24:T24"/>
    <mergeCell ref="A23:B23"/>
    <mergeCell ref="D1:S1"/>
    <mergeCell ref="D2:S2"/>
    <mergeCell ref="A14:B14"/>
    <mergeCell ref="A15:B16"/>
    <mergeCell ref="A17:B17"/>
    <mergeCell ref="A5:B6"/>
    <mergeCell ref="A7:B7"/>
    <mergeCell ref="A9:B10"/>
    <mergeCell ref="A11:B11"/>
    <mergeCell ref="A12:B13"/>
    <mergeCell ref="D20:T20"/>
    <mergeCell ref="A18:B19"/>
    <mergeCell ref="A20:B20"/>
    <mergeCell ref="A21:B22"/>
    <mergeCell ref="D21:T21"/>
    <mergeCell ref="D22:T22"/>
  </mergeCells>
  <conditionalFormatting sqref="H6:H20">
    <cfRule type="cellIs" dxfId="8" priority="1" operator="equal">
      <formula>0</formula>
    </cfRule>
  </conditionalFormatting>
  <hyperlinks>
    <hyperlink ref="A9:B10" location="Dashboard!A1" display="Dashboard!A1" xr:uid="{4A7C4D1A-8945-4807-A577-37F3A6568F98}"/>
    <hyperlink ref="A12:B13" location="Overview!A1" display="Overview!A1" xr:uid="{8CDBBBDD-7E8E-4092-8B57-1E91B234C1F9}"/>
    <hyperlink ref="A15:B16" location="Income!A1" display="Income!A1" xr:uid="{DFD95ED8-DEE9-47DE-B0ED-D710C21D9958}"/>
    <hyperlink ref="A18:B19" location="Expense!A1" display="Expense!A1" xr:uid="{0E48647B-5C2E-475D-9EEF-3A8F37A34A02}"/>
    <hyperlink ref="A21:B22" location="Trends!A1" display="Trends!A1" xr:uid="{CE4D4589-5C0C-4C4B-8417-6BC6068724F2}"/>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0E30C-278C-4BEB-9CAA-C7A38641E3FD}">
  <dimension ref="A1:T21"/>
  <sheetViews>
    <sheetView showGridLines="0" showRowColHeaders="0" topLeftCell="A7" zoomScale="66" zoomScaleNormal="66" workbookViewId="0">
      <selection activeCell="J23" sqref="J23"/>
    </sheetView>
  </sheetViews>
  <sheetFormatPr defaultColWidth="8.7265625" defaultRowHeight="28" customHeight="1" x14ac:dyDescent="0.35"/>
  <cols>
    <col min="1" max="3" width="8.54296875" style="9" customWidth="1"/>
    <col min="4" max="4" width="17.54296875" style="9" bestFit="1" customWidth="1"/>
    <col min="5" max="5" width="11.81640625" style="9" customWidth="1"/>
    <col min="6" max="6" width="13.54296875" style="9" bestFit="1" customWidth="1"/>
    <col min="7" max="7" width="10.453125" style="9" customWidth="1"/>
    <col min="8" max="8" width="11.453125" style="9" customWidth="1"/>
    <col min="9" max="20" width="8.54296875" style="9" customWidth="1"/>
    <col min="21" max="16384" width="8.7265625" style="9"/>
  </cols>
  <sheetData>
    <row r="1" spans="1:20" ht="31.5" customHeight="1" x14ac:dyDescent="0.35">
      <c r="A1" s="12"/>
      <c r="B1" s="10"/>
      <c r="C1" s="12"/>
      <c r="D1" s="81" t="s">
        <v>60</v>
      </c>
      <c r="E1" s="81"/>
      <c r="F1" s="81"/>
      <c r="G1" s="81"/>
      <c r="H1" s="81"/>
      <c r="I1" s="81"/>
      <c r="J1" s="81"/>
      <c r="K1" s="81"/>
      <c r="L1" s="81"/>
      <c r="M1" s="81"/>
      <c r="N1" s="81"/>
      <c r="O1" s="81"/>
      <c r="P1" s="81"/>
      <c r="Q1" s="81"/>
      <c r="R1" s="81"/>
      <c r="S1" s="81"/>
      <c r="T1" s="81"/>
    </row>
    <row r="2" spans="1:20" ht="12.65" customHeight="1" x14ac:dyDescent="0.35">
      <c r="A2" s="12"/>
      <c r="B2" s="10"/>
      <c r="D2" s="126" t="s">
        <v>61</v>
      </c>
      <c r="E2" s="126"/>
      <c r="F2" s="126"/>
      <c r="G2" s="126"/>
      <c r="H2" s="126"/>
      <c r="I2" s="126"/>
      <c r="J2" s="126"/>
      <c r="K2" s="126"/>
      <c r="L2" s="126"/>
      <c r="M2" s="126"/>
      <c r="N2" s="126"/>
      <c r="O2" s="126"/>
      <c r="P2" s="126"/>
      <c r="Q2" s="126"/>
      <c r="R2" s="126"/>
      <c r="S2" s="126"/>
      <c r="T2" s="126"/>
    </row>
    <row r="3" spans="1:20" ht="12.65" customHeight="1" x14ac:dyDescent="0.35">
      <c r="A3" s="12"/>
      <c r="B3" s="10"/>
    </row>
    <row r="4" spans="1:20" ht="28" customHeight="1" x14ac:dyDescent="0.35">
      <c r="A4" s="10"/>
      <c r="B4" s="10"/>
      <c r="D4" s="127" t="s">
        <v>62</v>
      </c>
      <c r="E4" s="128"/>
      <c r="F4" s="128"/>
      <c r="G4" s="128"/>
      <c r="H4" s="128"/>
    </row>
    <row r="5" spans="1:20" ht="28" customHeight="1" x14ac:dyDescent="0.35">
      <c r="A5" s="79"/>
      <c r="B5" s="79"/>
      <c r="D5" s="20" t="s">
        <v>1</v>
      </c>
      <c r="E5" s="20"/>
      <c r="F5" s="20" t="s">
        <v>11</v>
      </c>
      <c r="G5" s="21"/>
      <c r="H5" s="20" t="s">
        <v>63</v>
      </c>
    </row>
    <row r="6" spans="1:20" ht="28" customHeight="1" x14ac:dyDescent="0.35">
      <c r="A6" s="10"/>
      <c r="B6" s="10"/>
      <c r="D6" s="14" t="s">
        <v>5</v>
      </c>
      <c r="E6" s="14"/>
      <c r="F6" s="15">
        <f>SUMIF(Data!H:H,"UPI Expense",Data!K:K)</f>
        <v>2603908.58</v>
      </c>
      <c r="G6" s="18"/>
      <c r="H6" s="19">
        <f t="shared" ref="H6:H12" si="0">F6/$F$13</f>
        <v>0.53628654624810956</v>
      </c>
    </row>
    <row r="7" spans="1:20" ht="28" customHeight="1" x14ac:dyDescent="0.35">
      <c r="A7" s="80" t="e" vm="1">
        <v>#VALUE!</v>
      </c>
      <c r="B7" s="80"/>
      <c r="D7" s="22" t="s">
        <v>6</v>
      </c>
      <c r="E7" s="22"/>
      <c r="F7" s="23">
        <f>SUMIF(Data!H:H,"EMI",Data!K:K)</f>
        <v>1074150.56</v>
      </c>
      <c r="G7" s="24"/>
      <c r="H7" s="25">
        <f t="shared" si="0"/>
        <v>0.22122608235841859</v>
      </c>
    </row>
    <row r="8" spans="1:20" ht="28" customHeight="1" x14ac:dyDescent="0.35">
      <c r="A8" s="80"/>
      <c r="B8" s="80"/>
      <c r="D8" s="14" t="s">
        <v>64</v>
      </c>
      <c r="E8" s="14"/>
      <c r="F8" s="15">
        <f>SUMIF(Data!H:H,"Cash",Data!K:K)</f>
        <v>409000</v>
      </c>
      <c r="G8" s="18"/>
      <c r="H8" s="16">
        <f t="shared" si="0"/>
        <v>8.423536797727238E-2</v>
      </c>
    </row>
    <row r="9" spans="1:20" ht="28" customHeight="1" x14ac:dyDescent="0.35">
      <c r="A9" s="79" t="s">
        <v>19</v>
      </c>
      <c r="B9" s="79"/>
      <c r="D9" s="22" t="s">
        <v>65</v>
      </c>
      <c r="E9" s="22"/>
      <c r="F9" s="23">
        <f>SUMIF(Data!H:H,"Transfer",Data!K:K)</f>
        <v>371006</v>
      </c>
      <c r="G9" s="24"/>
      <c r="H9" s="25">
        <f t="shared" si="0"/>
        <v>7.641033479651814E-2</v>
      </c>
    </row>
    <row r="10" spans="1:20" ht="28" customHeight="1" x14ac:dyDescent="0.35">
      <c r="A10" s="80" t="e" vm="2">
        <v>#VALUE!</v>
      </c>
      <c r="B10" s="80"/>
      <c r="D10" s="14" t="s">
        <v>66</v>
      </c>
      <c r="E10" s="14"/>
      <c r="F10" s="15">
        <f>SUMIF(Data!H:H,"Loan Payment",Data!K:K)</f>
        <v>51929</v>
      </c>
      <c r="G10" s="18"/>
      <c r="H10" s="16">
        <f t="shared" si="0"/>
        <v>1.0695008370884542E-2</v>
      </c>
    </row>
    <row r="11" spans="1:20" ht="28" customHeight="1" x14ac:dyDescent="0.35">
      <c r="A11" s="80"/>
      <c r="B11" s="80"/>
      <c r="D11" s="22" t="s">
        <v>2</v>
      </c>
      <c r="E11" s="22"/>
      <c r="F11" s="23">
        <f>SUMIF(Data!H:H,"Investment (Outflow)",Data!K:K)</f>
        <v>35000</v>
      </c>
      <c r="G11" s="24"/>
      <c r="H11" s="25">
        <f t="shared" si="0"/>
        <v>7.208405572627221E-3</v>
      </c>
    </row>
    <row r="12" spans="1:20" ht="28" customHeight="1" x14ac:dyDescent="0.35">
      <c r="A12" s="79" t="s">
        <v>20</v>
      </c>
      <c r="B12" s="79"/>
      <c r="D12" s="14" t="s">
        <v>67</v>
      </c>
      <c r="E12" s="14"/>
      <c r="F12" s="15">
        <f>SUMIF(Data!H:H,"Other",Data!K:K)</f>
        <v>310448.53000000009</v>
      </c>
      <c r="G12" s="18"/>
      <c r="H12" s="16">
        <f t="shared" si="0"/>
        <v>6.3938254676169426E-2</v>
      </c>
    </row>
    <row r="13" spans="1:20" ht="28" customHeight="1" x14ac:dyDescent="0.35">
      <c r="A13" s="80" t="e" vm="3">
        <v>#VALUE!</v>
      </c>
      <c r="B13" s="80"/>
      <c r="D13" s="22" t="s">
        <v>68</v>
      </c>
      <c r="E13" s="22"/>
      <c r="F13" s="23">
        <f>SUM(F6:F12)</f>
        <v>4855442.6700000009</v>
      </c>
      <c r="G13" s="24"/>
      <c r="H13" s="26"/>
    </row>
    <row r="14" spans="1:20" ht="28" customHeight="1" x14ac:dyDescent="0.35">
      <c r="A14" s="80"/>
      <c r="B14" s="80"/>
    </row>
    <row r="15" spans="1:20" ht="28" customHeight="1" x14ac:dyDescent="0.35">
      <c r="A15" s="79" t="s">
        <v>21</v>
      </c>
      <c r="B15" s="79"/>
      <c r="D15" s="122" t="s">
        <v>69</v>
      </c>
      <c r="E15" s="122"/>
      <c r="F15" s="122"/>
      <c r="G15" s="122"/>
      <c r="H15" s="122"/>
      <c r="I15" s="122"/>
      <c r="J15" s="122"/>
      <c r="K15" s="122"/>
      <c r="L15" s="122"/>
      <c r="M15" s="122"/>
      <c r="N15" s="122"/>
      <c r="O15" s="122"/>
      <c r="P15" s="122"/>
      <c r="Q15" s="122"/>
      <c r="R15" s="122"/>
      <c r="S15" s="122"/>
      <c r="T15" s="122"/>
    </row>
    <row r="16" spans="1:20" ht="28" customHeight="1" x14ac:dyDescent="0.35">
      <c r="A16" s="80" t="e" vm="4">
        <v>#VALUE!</v>
      </c>
      <c r="B16" s="80"/>
      <c r="D16" s="123" t="s">
        <v>31</v>
      </c>
      <c r="E16" s="123"/>
      <c r="F16" s="123"/>
      <c r="G16" s="123"/>
      <c r="H16" s="123"/>
      <c r="I16" s="123"/>
      <c r="J16" s="123"/>
      <c r="K16" s="123"/>
      <c r="L16" s="123"/>
      <c r="M16" s="123"/>
      <c r="N16" s="123"/>
      <c r="O16" s="123"/>
      <c r="P16" s="123"/>
      <c r="Q16" s="123"/>
      <c r="R16" s="123"/>
      <c r="S16" s="123"/>
      <c r="T16" s="123"/>
    </row>
    <row r="17" spans="1:20" ht="28" customHeight="1" x14ac:dyDescent="0.35">
      <c r="A17" s="80"/>
      <c r="B17" s="80"/>
      <c r="D17" s="124" t="s">
        <v>70</v>
      </c>
      <c r="E17" s="125"/>
      <c r="F17" s="125"/>
      <c r="G17" s="125"/>
      <c r="H17" s="125"/>
      <c r="I17" s="125"/>
      <c r="J17" s="125"/>
      <c r="K17" s="125"/>
      <c r="L17" s="125"/>
      <c r="M17" s="125"/>
      <c r="N17" s="125"/>
      <c r="O17" s="125"/>
      <c r="P17" s="125"/>
      <c r="Q17" s="125"/>
      <c r="R17" s="125"/>
      <c r="S17" s="125"/>
      <c r="T17" s="125"/>
    </row>
    <row r="18" spans="1:20" ht="28" customHeight="1" x14ac:dyDescent="0.35">
      <c r="A18" s="79" t="s">
        <v>22</v>
      </c>
      <c r="B18" s="79"/>
      <c r="D18" s="123" t="s">
        <v>71</v>
      </c>
      <c r="E18" s="123"/>
      <c r="F18" s="123"/>
      <c r="G18" s="123"/>
      <c r="H18" s="123"/>
      <c r="I18" s="123"/>
      <c r="J18" s="123"/>
      <c r="K18" s="123"/>
      <c r="L18" s="123"/>
      <c r="M18" s="123"/>
      <c r="N18" s="123"/>
      <c r="O18" s="123"/>
      <c r="P18" s="123"/>
      <c r="Q18" s="123"/>
      <c r="R18" s="123"/>
      <c r="S18" s="123"/>
      <c r="T18" s="123"/>
    </row>
    <row r="19" spans="1:20" ht="50.15" customHeight="1" x14ac:dyDescent="0.35">
      <c r="A19" s="80" t="e" vm="7">
        <v>#VALUE!</v>
      </c>
      <c r="B19" s="80"/>
      <c r="D19" s="124" t="s">
        <v>72</v>
      </c>
      <c r="E19" s="125"/>
      <c r="F19" s="125"/>
      <c r="G19" s="125"/>
      <c r="H19" s="125"/>
      <c r="I19" s="125"/>
      <c r="J19" s="125"/>
      <c r="K19" s="125"/>
      <c r="L19" s="125"/>
      <c r="M19" s="125"/>
      <c r="N19" s="125"/>
      <c r="O19" s="125"/>
      <c r="P19" s="125"/>
      <c r="Q19" s="125"/>
      <c r="R19" s="125"/>
      <c r="S19" s="125"/>
      <c r="T19" s="125"/>
    </row>
    <row r="20" spans="1:20" ht="28" customHeight="1" x14ac:dyDescent="0.35">
      <c r="A20" s="80"/>
      <c r="B20" s="80"/>
      <c r="D20" s="123" t="s">
        <v>73</v>
      </c>
      <c r="E20" s="123"/>
      <c r="F20" s="123"/>
      <c r="G20" s="123"/>
      <c r="H20" s="123"/>
      <c r="I20" s="123"/>
      <c r="J20" s="123"/>
      <c r="K20" s="123"/>
      <c r="L20" s="123"/>
      <c r="M20" s="123"/>
      <c r="N20" s="123"/>
      <c r="O20" s="123"/>
      <c r="P20" s="123"/>
      <c r="Q20" s="123"/>
      <c r="R20" s="123"/>
      <c r="S20" s="123"/>
      <c r="T20" s="123"/>
    </row>
    <row r="21" spans="1:20" ht="30.65" customHeight="1" x14ac:dyDescent="0.35">
      <c r="A21" s="79" t="s">
        <v>23</v>
      </c>
      <c r="B21" s="79"/>
      <c r="D21" s="124" t="s">
        <v>74</v>
      </c>
      <c r="E21" s="125"/>
      <c r="F21" s="125"/>
      <c r="G21" s="125"/>
      <c r="H21" s="125"/>
      <c r="I21" s="125"/>
      <c r="J21" s="125"/>
      <c r="K21" s="125"/>
      <c r="L21" s="125"/>
      <c r="M21" s="125"/>
      <c r="N21" s="125"/>
      <c r="O21" s="125"/>
      <c r="P21" s="125"/>
      <c r="Q21" s="125"/>
      <c r="R21" s="125"/>
      <c r="S21" s="125"/>
      <c r="T21" s="125"/>
    </row>
  </sheetData>
  <mergeCells count="21">
    <mergeCell ref="A21:B21"/>
    <mergeCell ref="A5:B5"/>
    <mergeCell ref="A7:B8"/>
    <mergeCell ref="A9:B9"/>
    <mergeCell ref="A10:B11"/>
    <mergeCell ref="A12:B12"/>
    <mergeCell ref="A13:B14"/>
    <mergeCell ref="A15:B15"/>
    <mergeCell ref="A16:B17"/>
    <mergeCell ref="A18:B18"/>
    <mergeCell ref="A19:B20"/>
    <mergeCell ref="D21:T21"/>
    <mergeCell ref="D1:T1"/>
    <mergeCell ref="D2:T2"/>
    <mergeCell ref="D4:H4"/>
    <mergeCell ref="D15:T15"/>
    <mergeCell ref="D16:T16"/>
    <mergeCell ref="D17:T17"/>
    <mergeCell ref="D18:T18"/>
    <mergeCell ref="D19:T19"/>
    <mergeCell ref="D20:T20"/>
  </mergeCells>
  <hyperlinks>
    <hyperlink ref="A7:B8" location="Dashboard!A1" display="Dashboard!A1" xr:uid="{E4BF9A67-F4B4-4599-8D2C-5B847B432EA5}"/>
    <hyperlink ref="A10:B11" location="Overview!A1" display="Overview!A1" xr:uid="{E4DEAB52-4CA0-4ACB-89FE-E5ED2A11ACBB}"/>
    <hyperlink ref="A13:B14" location="Income!A1" display="Income!A1" xr:uid="{98CC1989-9F59-488B-833A-D025B94FD438}"/>
    <hyperlink ref="A16:B17" location="Expense!A1" display="Expense!A1" xr:uid="{D832490A-2B63-4B0E-B379-43BCE1E3CE02}"/>
    <hyperlink ref="A19:B20" location="Trends!A1" display="Trends!A1" xr:uid="{02724E3B-8D66-4CB1-BBEA-9E94FE82F213}"/>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0147D-ADD5-4B22-A385-52528FB49039}">
  <dimension ref="A1:T23"/>
  <sheetViews>
    <sheetView showGridLines="0" showRowColHeaders="0" topLeftCell="A4" zoomScale="63" zoomScaleNormal="63" workbookViewId="0">
      <selection activeCell="W4" sqref="W4"/>
    </sheetView>
  </sheetViews>
  <sheetFormatPr defaultColWidth="8.7265625" defaultRowHeight="14.5" x14ac:dyDescent="0.35"/>
  <cols>
    <col min="1" max="3" width="8.54296875" style="9" customWidth="1"/>
    <col min="4" max="4" width="16" style="9" customWidth="1"/>
    <col min="5" max="5" width="13.81640625" style="9" bestFit="1" customWidth="1"/>
    <col min="6" max="6" width="18.1796875" style="32" customWidth="1"/>
    <col min="7" max="7" width="17.81640625" style="9" customWidth="1"/>
    <col min="8" max="22" width="8.54296875" style="9" customWidth="1"/>
    <col min="23" max="16384" width="8.7265625" style="9"/>
  </cols>
  <sheetData>
    <row r="1" spans="1:20" ht="28" customHeight="1" x14ac:dyDescent="0.35">
      <c r="A1" s="12"/>
      <c r="B1" s="10"/>
      <c r="C1" s="12"/>
      <c r="D1" s="81" t="s">
        <v>75</v>
      </c>
      <c r="E1" s="81"/>
      <c r="F1" s="81"/>
      <c r="G1" s="81"/>
      <c r="H1" s="81"/>
      <c r="I1" s="81"/>
      <c r="J1" s="81"/>
      <c r="K1" s="81"/>
      <c r="L1" s="81"/>
      <c r="M1" s="81"/>
      <c r="N1" s="81"/>
      <c r="O1" s="81"/>
      <c r="P1" s="81"/>
      <c r="Q1" s="81"/>
      <c r="R1" s="81"/>
      <c r="S1" s="81"/>
      <c r="T1" s="81"/>
    </row>
    <row r="2" spans="1:20" ht="16" customHeight="1" x14ac:dyDescent="0.35">
      <c r="A2" s="12"/>
      <c r="B2" s="10"/>
      <c r="D2" s="13"/>
      <c r="E2" s="129"/>
      <c r="F2" s="129"/>
      <c r="G2" s="129"/>
      <c r="H2" s="129"/>
      <c r="I2" s="129"/>
      <c r="J2" s="129"/>
      <c r="K2" s="129"/>
      <c r="L2" s="129"/>
      <c r="M2" s="129"/>
      <c r="N2" s="129"/>
      <c r="O2" s="129"/>
      <c r="P2" s="129"/>
      <c r="Q2" s="129"/>
      <c r="R2" s="129"/>
      <c r="S2" s="129"/>
      <c r="T2" s="129"/>
    </row>
    <row r="3" spans="1:20" ht="16.5" customHeight="1" x14ac:dyDescent="0.35">
      <c r="A3" s="10"/>
      <c r="B3" s="10"/>
      <c r="N3" s="36">
        <v>0</v>
      </c>
      <c r="O3" s="36">
        <v>0</v>
      </c>
    </row>
    <row r="4" spans="1:20" ht="18.5" x14ac:dyDescent="0.35">
      <c r="A4" s="91"/>
      <c r="B4" s="92"/>
      <c r="D4" s="20" t="s">
        <v>0</v>
      </c>
      <c r="E4" s="20" t="s">
        <v>21</v>
      </c>
      <c r="F4" s="33" t="s">
        <v>22</v>
      </c>
      <c r="G4" s="33" t="s">
        <v>76</v>
      </c>
      <c r="N4" s="36">
        <v>900000</v>
      </c>
      <c r="O4" s="36">
        <v>130000</v>
      </c>
    </row>
    <row r="5" spans="1:20" ht="28" customHeight="1" x14ac:dyDescent="0.35">
      <c r="A5" s="92"/>
      <c r="B5" s="92"/>
      <c r="D5" s="27">
        <f>DATE(2025,4,1)</f>
        <v>45748</v>
      </c>
      <c r="E5" s="28">
        <f>SUMIFS(Data!I:I,Data!H:H,"Income",Data!F:F,TEXT(D5,"mmm-yyyy"))</f>
        <v>236880</v>
      </c>
      <c r="F5" s="34" cm="1">
        <f t="array" ref="F5">SUMPRODUCT(SUMIFS(Data!K:K,
    Data!H:H, {"Cash","EMI","UPI Expense"},
    Data!J:J, "&gt;="&amp;DATE(YEAR(D5),MONTH(D5),1),
    Data!J:J, "&lt;"&amp;DATE(YEAR(D5),MONTH(D5)+1,1)
))</f>
        <v>188697.15</v>
      </c>
      <c r="G5" s="34">
        <f>E5-F5</f>
        <v>48182.850000000006</v>
      </c>
      <c r="H5" s="35"/>
    </row>
    <row r="6" spans="1:20" ht="28" customHeight="1" x14ac:dyDescent="0.35">
      <c r="A6" s="79"/>
      <c r="B6" s="79"/>
      <c r="D6" s="27">
        <f>EDATE(D5,1)</f>
        <v>45778</v>
      </c>
      <c r="E6" s="28">
        <f>SUMIFS(Data!I:I,Data!H:H,"Income",Data!F:F,TEXT(D6,"mmm-yyyy"))</f>
        <v>113225</v>
      </c>
      <c r="F6" s="34" cm="1">
        <f t="array" ref="F6">SUMPRODUCT(SUMIFS(Data!K:K,
    Data!H:H, {"Cash","EMI","UPI Expense"},
    Data!J:J, "&gt;="&amp;DATE(YEAR(D6),MONTH(D6),1),
    Data!J:J, "&lt;"&amp;DATE(YEAR(D6),MONTH(D6)+1,1)
))</f>
        <v>332130.87</v>
      </c>
      <c r="G6" s="34">
        <f t="shared" ref="G6:G17" si="0">E6-F6</f>
        <v>-218905.87</v>
      </c>
      <c r="H6" s="35"/>
    </row>
    <row r="7" spans="1:20" ht="28" customHeight="1" x14ac:dyDescent="0.35">
      <c r="A7" s="10"/>
      <c r="B7" s="10"/>
      <c r="D7" s="27">
        <f t="shared" ref="D7:D17" si="1">EDATE(D6,1)</f>
        <v>45809</v>
      </c>
      <c r="E7" s="28">
        <f>SUMIFS(Data!I:I,Data!H:H,"Income",Data!F:F,TEXT(D7,"mmm-yyyy"))</f>
        <v>112936</v>
      </c>
      <c r="F7" s="34" cm="1">
        <f t="array" ref="F7">SUMPRODUCT(SUMIFS(Data!K:K,
    Data!H:H, {"Cash","EMI","UPI Expense"},
    Data!J:J, "&gt;="&amp;DATE(YEAR(D7),MONTH(D7),1),
    Data!J:J, "&lt;"&amp;DATE(YEAR(D7),MONTH(D7)+1,1)
))</f>
        <v>375161.68</v>
      </c>
      <c r="G7" s="34">
        <f t="shared" si="0"/>
        <v>-262225.68</v>
      </c>
      <c r="H7" s="35"/>
      <c r="M7" s="31"/>
      <c r="O7" s="11"/>
    </row>
    <row r="8" spans="1:20" ht="28" customHeight="1" x14ac:dyDescent="0.35">
      <c r="A8" s="80" t="e" vm="1">
        <v>#VALUE!</v>
      </c>
      <c r="B8" s="80"/>
      <c r="D8" s="27">
        <f t="shared" si="1"/>
        <v>45839</v>
      </c>
      <c r="E8" s="28">
        <f>SUMIFS(Data!I:I,Data!H:H,"Income",Data!F:F,TEXT(D8,"mmm-yyyy"))</f>
        <v>112701</v>
      </c>
      <c r="F8" s="34" cm="1">
        <f t="array" ref="F8">SUMPRODUCT(SUMIFS(Data!K:K,
    Data!H:H, {"Cash","EMI","UPI Expense"},
    Data!J:J, "&gt;="&amp;DATE(YEAR(D8),MONTH(D8),1),
    Data!J:J, "&lt;"&amp;DATE(YEAR(D8),MONTH(D8)+1,1)
))</f>
        <v>173296.15000000002</v>
      </c>
      <c r="G8" s="34">
        <f t="shared" si="0"/>
        <v>-60595.150000000023</v>
      </c>
      <c r="H8" s="35"/>
      <c r="O8" s="11"/>
    </row>
    <row r="9" spans="1:20" ht="28" customHeight="1" x14ac:dyDescent="0.35">
      <c r="A9" s="80"/>
      <c r="B9" s="80"/>
      <c r="D9" s="27">
        <f t="shared" si="1"/>
        <v>45870</v>
      </c>
      <c r="E9" s="28">
        <f>SUMIFS(Data!I:I,Data!H:H,"Income",Data!F:F,TEXT(D9,"mmm-yyyy"))</f>
        <v>129908</v>
      </c>
      <c r="F9" s="34" cm="1">
        <f t="array" ref="F9">SUMPRODUCT(SUMIFS(Data!K:K,
    Data!H:H, {"Cash","EMI","UPI Expense"},
    Data!J:J, "&gt;="&amp;DATE(YEAR(D9),MONTH(D9),1),
    Data!J:J, "&lt;"&amp;DATE(YEAR(D9),MONTH(D9)+1,1)
))</f>
        <v>170143.15</v>
      </c>
      <c r="G9" s="34">
        <f t="shared" si="0"/>
        <v>-40235.149999999994</v>
      </c>
      <c r="H9" s="35"/>
    </row>
    <row r="10" spans="1:20" ht="28" customHeight="1" x14ac:dyDescent="0.35">
      <c r="A10" s="79" t="s">
        <v>19</v>
      </c>
      <c r="B10" s="79"/>
      <c r="D10" s="27">
        <f t="shared" si="1"/>
        <v>45901</v>
      </c>
      <c r="E10" s="28">
        <f>SUMIFS(Data!I:I,Data!H:H,"Income",Data!F:F,TEXT(D10,"mmm-yyyy"))</f>
        <v>130474</v>
      </c>
      <c r="F10" s="34" cm="1">
        <f t="array" ref="F10">SUMPRODUCT(SUMIFS(Data!K:K,
    Data!H:H, {"Cash","EMI","UPI Expense"},
    Data!J:J, "&gt;="&amp;DATE(YEAR(D10),MONTH(D10),1),
    Data!J:J, "&lt;"&amp;DATE(YEAR(D10),MONTH(D10)+1,1)
))</f>
        <v>248674.3</v>
      </c>
      <c r="G10" s="34">
        <f t="shared" si="0"/>
        <v>-118200.29999999999</v>
      </c>
      <c r="H10" s="35"/>
    </row>
    <row r="11" spans="1:20" ht="28" customHeight="1" x14ac:dyDescent="0.35">
      <c r="A11" s="80" t="e" vm="2">
        <v>#VALUE!</v>
      </c>
      <c r="B11" s="80"/>
      <c r="D11" s="27">
        <f t="shared" si="1"/>
        <v>45931</v>
      </c>
      <c r="E11" s="28">
        <f>SUMIFS(Data!I:I,Data!H:H,"Income",Data!F:F,TEXT(D11,"mmm-yyyy"))</f>
        <v>125379</v>
      </c>
      <c r="F11" s="34" cm="1">
        <f t="array" ref="F11">SUMPRODUCT(SUMIFS(Data!K:K,
    Data!H:H, {"Cash","EMI","UPI Expense"},
    Data!J:J, "&gt;="&amp;DATE(YEAR(D11),MONTH(D11),1),
    Data!J:J, "&lt;"&amp;DATE(YEAR(D11),MONTH(D11)+1,1)
))</f>
        <v>66915</v>
      </c>
      <c r="G11" s="34">
        <f t="shared" si="0"/>
        <v>58464</v>
      </c>
      <c r="H11" s="35"/>
    </row>
    <row r="12" spans="1:20" ht="28" customHeight="1" x14ac:dyDescent="0.35">
      <c r="A12" s="80"/>
      <c r="B12" s="80"/>
      <c r="D12" s="27">
        <f t="shared" si="1"/>
        <v>45962</v>
      </c>
      <c r="E12" s="28">
        <f>SUMIFS(Data!I:I,Data!H:H,"Income",Data!F:F,TEXT(D12,"mmm-yyyy"))</f>
        <v>109796</v>
      </c>
      <c r="F12" s="34" cm="1">
        <f t="array" ref="F12">SUMPRODUCT(SUMIFS(Data!K:K,
    Data!H:H, {"Cash","EMI","UPI Expense"},
    Data!J:J, "&gt;="&amp;DATE(YEAR(D12),MONTH(D12),1),
    Data!J:J, "&lt;"&amp;DATE(YEAR(D12),MONTH(D12)+1,1)
))</f>
        <v>110808.1</v>
      </c>
      <c r="G12" s="34">
        <f t="shared" si="0"/>
        <v>-1012.1000000000058</v>
      </c>
      <c r="H12" s="35"/>
    </row>
    <row r="13" spans="1:20" ht="28" customHeight="1" x14ac:dyDescent="0.35">
      <c r="A13" s="79" t="s">
        <v>20</v>
      </c>
      <c r="B13" s="79"/>
      <c r="D13" s="27">
        <f t="shared" si="1"/>
        <v>45992</v>
      </c>
      <c r="E13" s="28">
        <f>SUMIFS(Data!I:I,Data!H:H,"Income",Data!F:F,TEXT(D13,"mmm-yyyy"))</f>
        <v>114065</v>
      </c>
      <c r="F13" s="34" cm="1">
        <f t="array" ref="F13">SUMPRODUCT(SUMIFS(Data!K:K,
    Data!H:H, {"Cash","EMI","UPI Expense"},
    Data!J:J, "&gt;="&amp;DATE(YEAR(D13),MONTH(D13),1),
    Data!J:J, "&lt;"&amp;DATE(YEAR(D13),MONTH(D13)+1,1)
))</f>
        <v>275967</v>
      </c>
      <c r="G13" s="34">
        <f t="shared" si="0"/>
        <v>-161902</v>
      </c>
      <c r="H13" s="35"/>
    </row>
    <row r="14" spans="1:20" ht="28" customHeight="1" x14ac:dyDescent="0.35">
      <c r="A14" s="80" t="e" vm="3">
        <v>#VALUE!</v>
      </c>
      <c r="B14" s="80"/>
      <c r="D14" s="27">
        <f t="shared" si="1"/>
        <v>46023</v>
      </c>
      <c r="E14" s="28">
        <f>SUMIFS(Data!I:I,Data!H:H,"Income",Data!F:F,TEXT(D14,"mmm-yyyy"))</f>
        <v>116002</v>
      </c>
      <c r="F14" s="34" cm="1">
        <f t="array" ref="F14">SUMPRODUCT(SUMIFS(Data!K:K,
    Data!H:H, {"Cash","EMI","UPI Expense"},
    Data!J:J, "&gt;="&amp;DATE(YEAR(D14),MONTH(D14),1),
    Data!J:J, "&lt;"&amp;DATE(YEAR(D14),MONTH(D14)+1,1)
))</f>
        <v>212556</v>
      </c>
      <c r="G14" s="34">
        <f t="shared" si="0"/>
        <v>-96554</v>
      </c>
      <c r="H14" s="35"/>
    </row>
    <row r="15" spans="1:20" ht="28" customHeight="1" x14ac:dyDescent="0.35">
      <c r="A15" s="80"/>
      <c r="B15" s="80"/>
      <c r="D15" s="27">
        <f t="shared" si="1"/>
        <v>46054</v>
      </c>
      <c r="E15" s="28">
        <f>SUMIFS(Data!I:I,Data!H:H,"Income",Data!F:F,TEXT(D15,"mmm-yyyy"))</f>
        <v>114840</v>
      </c>
      <c r="F15" s="34" cm="1">
        <f t="array" ref="F15">SUMPRODUCT(SUMIFS(Data!K:K,
    Data!H:H, {"Cash","EMI","UPI Expense"},
    Data!J:J, "&gt;="&amp;DATE(YEAR(D15),MONTH(D15),1),
    Data!J:J, "&lt;"&amp;DATE(YEAR(D15),MONTH(D15)+1,1)
))</f>
        <v>563485.30000000005</v>
      </c>
      <c r="G15" s="34">
        <f t="shared" si="0"/>
        <v>-448645.30000000005</v>
      </c>
      <c r="H15" s="35"/>
    </row>
    <row r="16" spans="1:20" ht="28" customHeight="1" x14ac:dyDescent="0.35">
      <c r="A16" s="79" t="s">
        <v>21</v>
      </c>
      <c r="B16" s="79"/>
      <c r="D16" s="27">
        <f t="shared" si="1"/>
        <v>46082</v>
      </c>
      <c r="E16" s="28">
        <f>SUMIFS(Data!I:I,Data!H:H,"Income",Data!F:F,TEXT(D16,"mmm-yyyy"))</f>
        <v>0</v>
      </c>
      <c r="F16" s="34" cm="1">
        <f t="array" ref="F16">SUMPRODUCT(SUMIFS(Data!K:K,
    Data!H:H, {"Cash","EMI","UPI Expense"},
    Data!J:J, "&gt;="&amp;DATE(YEAR(D16),MONTH(D16),1),
    Data!J:J, "&lt;"&amp;DATE(YEAR(D16),MONTH(D16)+1,1)
))</f>
        <v>544664.62</v>
      </c>
      <c r="G16" s="34">
        <f t="shared" si="0"/>
        <v>-544664.62</v>
      </c>
      <c r="H16" s="35"/>
    </row>
    <row r="17" spans="1:20" ht="28" customHeight="1" x14ac:dyDescent="0.35">
      <c r="A17" s="80" t="e" vm="6">
        <v>#VALUE!</v>
      </c>
      <c r="B17" s="80"/>
      <c r="D17" s="27">
        <f t="shared" si="1"/>
        <v>46113</v>
      </c>
      <c r="E17" s="28">
        <f>SUMIFS(Data!I:I,Data!H:H,"Income",Data!F:F,TEXT(D17,"mmm-yyyy"))</f>
        <v>240092</v>
      </c>
      <c r="F17" s="34" cm="1">
        <f t="array" ref="F17">SUMPRODUCT(SUMIFS(Data!K:K,
    Data!H:H, {"Cash","EMI","UPI Expense"},
    Data!J:J, "&gt;="&amp;DATE(YEAR(D17),MONTH(D17),1),
    Data!J:J, "&lt;"&amp;DATE(YEAR(D17),MONTH(D17)+1,1)
))</f>
        <v>683589</v>
      </c>
      <c r="G17" s="34">
        <f t="shared" si="0"/>
        <v>-443497</v>
      </c>
      <c r="H17" s="35"/>
    </row>
    <row r="18" spans="1:20" ht="28" customHeight="1" x14ac:dyDescent="0.35">
      <c r="A18" s="80"/>
      <c r="B18" s="80"/>
      <c r="E18" s="39">
        <f>SUM(E5:E17)</f>
        <v>1656298</v>
      </c>
    </row>
    <row r="19" spans="1:20" ht="28" customHeight="1" x14ac:dyDescent="0.35">
      <c r="A19" s="79" t="s">
        <v>22</v>
      </c>
      <c r="B19" s="79"/>
      <c r="D19" s="122" t="s">
        <v>26</v>
      </c>
      <c r="E19" s="122"/>
      <c r="F19" s="122"/>
      <c r="G19" s="122"/>
      <c r="H19" s="122"/>
      <c r="I19" s="122"/>
      <c r="J19" s="122"/>
      <c r="K19" s="122"/>
      <c r="L19" s="122"/>
      <c r="M19" s="122"/>
      <c r="N19" s="122"/>
      <c r="O19" s="122"/>
      <c r="P19" s="122"/>
      <c r="Q19" s="122"/>
      <c r="R19" s="122"/>
      <c r="S19" s="122"/>
      <c r="T19" s="122"/>
    </row>
    <row r="20" spans="1:20" ht="28" customHeight="1" x14ac:dyDescent="0.35">
      <c r="A20" s="80" t="e" vm="5">
        <v>#VALUE!</v>
      </c>
      <c r="B20" s="80"/>
      <c r="D20" s="123" t="s">
        <v>28</v>
      </c>
      <c r="E20" s="123"/>
      <c r="F20" s="123"/>
      <c r="G20" s="123"/>
      <c r="H20" s="123"/>
      <c r="I20" s="123"/>
      <c r="J20" s="123"/>
      <c r="K20" s="123"/>
      <c r="L20" s="123"/>
      <c r="M20" s="123"/>
      <c r="N20" s="123"/>
      <c r="O20" s="123"/>
      <c r="P20" s="123"/>
      <c r="Q20" s="123"/>
      <c r="R20" s="123"/>
      <c r="S20" s="123"/>
      <c r="T20" s="123"/>
    </row>
    <row r="21" spans="1:20" ht="28" customHeight="1" x14ac:dyDescent="0.35">
      <c r="A21" s="80"/>
      <c r="B21" s="80"/>
      <c r="D21" s="124" t="s">
        <v>77</v>
      </c>
      <c r="E21" s="125"/>
      <c r="F21" s="125"/>
      <c r="G21" s="125"/>
      <c r="H21" s="125"/>
      <c r="I21" s="125"/>
      <c r="J21" s="125"/>
      <c r="K21" s="125"/>
      <c r="L21" s="125"/>
      <c r="M21" s="125"/>
      <c r="N21" s="125"/>
      <c r="O21" s="125"/>
      <c r="P21" s="125"/>
      <c r="Q21" s="125"/>
      <c r="R21" s="125"/>
      <c r="S21" s="125"/>
      <c r="T21" s="125"/>
    </row>
    <row r="22" spans="1:20" ht="28" customHeight="1" x14ac:dyDescent="0.35">
      <c r="A22" s="79" t="s">
        <v>23</v>
      </c>
      <c r="B22" s="79"/>
      <c r="D22" s="123" t="s">
        <v>78</v>
      </c>
      <c r="E22" s="123"/>
      <c r="F22" s="123"/>
      <c r="G22" s="123"/>
      <c r="H22" s="123"/>
      <c r="I22" s="123"/>
      <c r="J22" s="123"/>
      <c r="K22" s="123"/>
      <c r="L22" s="123"/>
      <c r="M22" s="123"/>
      <c r="N22" s="123"/>
      <c r="O22" s="123"/>
      <c r="P22" s="123"/>
      <c r="Q22" s="123"/>
      <c r="R22" s="123"/>
      <c r="S22" s="123"/>
      <c r="T22" s="123"/>
    </row>
    <row r="23" spans="1:20" ht="34" customHeight="1" x14ac:dyDescent="0.35">
      <c r="A23" s="10"/>
      <c r="B23" s="10"/>
      <c r="D23" s="124" t="s">
        <v>79</v>
      </c>
      <c r="E23" s="125"/>
      <c r="F23" s="125"/>
      <c r="G23" s="125"/>
      <c r="H23" s="125"/>
      <c r="I23" s="125"/>
      <c r="J23" s="125"/>
      <c r="K23" s="125"/>
      <c r="L23" s="125"/>
      <c r="M23" s="125"/>
      <c r="N23" s="125"/>
      <c r="O23" s="125"/>
      <c r="P23" s="125"/>
      <c r="Q23" s="125"/>
      <c r="R23" s="125"/>
      <c r="S23" s="125"/>
      <c r="T23" s="125"/>
    </row>
  </sheetData>
  <mergeCells count="19">
    <mergeCell ref="D21:T21"/>
    <mergeCell ref="D22:T22"/>
    <mergeCell ref="D23:T23"/>
    <mergeCell ref="D1:T1"/>
    <mergeCell ref="E2:T2"/>
    <mergeCell ref="D20:T20"/>
    <mergeCell ref="D19:T19"/>
    <mergeCell ref="A11:B12"/>
    <mergeCell ref="A4:B5"/>
    <mergeCell ref="A6:B6"/>
    <mergeCell ref="A8:B9"/>
    <mergeCell ref="A10:B10"/>
    <mergeCell ref="A22:B22"/>
    <mergeCell ref="A13:B13"/>
    <mergeCell ref="A14:B15"/>
    <mergeCell ref="A16:B16"/>
    <mergeCell ref="A17:B18"/>
    <mergeCell ref="A19:B19"/>
    <mergeCell ref="A20:B21"/>
  </mergeCells>
  <conditionalFormatting sqref="G5:G17">
    <cfRule type="cellIs" dxfId="7" priority="2" operator="greaterThan">
      <formula>0</formula>
    </cfRule>
    <cfRule type="cellIs" dxfId="6" priority="3" operator="lessThan">
      <formula>0</formula>
    </cfRule>
  </conditionalFormatting>
  <conditionalFormatting sqref="H19">
    <cfRule type="cellIs" dxfId="5" priority="1" operator="equal">
      <formula>0</formula>
    </cfRule>
  </conditionalFormatting>
  <hyperlinks>
    <hyperlink ref="A8:B9" location="Dashboard!A1" display="Dashboard!A1" xr:uid="{2CC1830F-FB8C-43F9-8984-07BE0F78CDD6}"/>
    <hyperlink ref="A11:B12" location="Overview!A1" display="Overview!A1" xr:uid="{09D5AC6F-DAAB-4DF1-91B9-AAF4BBB7BC62}"/>
    <hyperlink ref="A14:B15" location="Income!A1" display="Income!A1" xr:uid="{B70239CE-F4E7-499C-A26E-54AF3391381D}"/>
    <hyperlink ref="A17:B18" location="Expense!A1" display="Expense!A1" xr:uid="{ED32860A-548C-48AE-9664-60A5A9A59265}"/>
    <hyperlink ref="A20:B21" location="Trends!A1" display="Trends!A1" xr:uid="{A5902924-4A82-4EB8-8C3C-93C03ED7A713}"/>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AADF2-6FF8-42E2-8739-A9136C9D8169}">
  <dimension ref="A4:C21"/>
  <sheetViews>
    <sheetView topLeftCell="A6" workbookViewId="0">
      <selection activeCell="A4" sqref="A4:C5"/>
    </sheetView>
  </sheetViews>
  <sheetFormatPr defaultRowHeight="14.5" x14ac:dyDescent="0.35"/>
  <cols>
    <col min="1" max="1" width="22" bestFit="1" customWidth="1"/>
    <col min="2" max="2" width="15.26953125" bestFit="1" customWidth="1"/>
    <col min="3" max="4" width="10.81640625" bestFit="1" customWidth="1"/>
  </cols>
  <sheetData>
    <row r="4" spans="1:3" ht="14.5" customHeight="1" x14ac:dyDescent="0.35">
      <c r="A4" s="130" t="s">
        <v>80</v>
      </c>
      <c r="B4" s="130"/>
      <c r="C4" s="130"/>
    </row>
    <row r="5" spans="1:3" ht="14.5" customHeight="1" x14ac:dyDescent="0.35">
      <c r="A5" s="130"/>
      <c r="B5" s="130"/>
      <c r="C5" s="130"/>
    </row>
    <row r="6" spans="1:3" x14ac:dyDescent="0.35">
      <c r="A6" s="4" t="s">
        <v>81</v>
      </c>
      <c r="B6" s="4" t="s">
        <v>82</v>
      </c>
    </row>
    <row r="7" spans="1:3" x14ac:dyDescent="0.35">
      <c r="A7" s="4" t="s">
        <v>83</v>
      </c>
      <c r="B7" t="s">
        <v>22</v>
      </c>
      <c r="C7" t="s">
        <v>21</v>
      </c>
    </row>
    <row r="8" spans="1:3" x14ac:dyDescent="0.35">
      <c r="A8" s="8">
        <v>45777</v>
      </c>
      <c r="B8">
        <v>226935.15</v>
      </c>
      <c r="C8">
        <v>369144</v>
      </c>
    </row>
    <row r="9" spans="1:3" x14ac:dyDescent="0.35">
      <c r="A9" s="8">
        <v>45808</v>
      </c>
      <c r="B9">
        <v>335350.07000000007</v>
      </c>
      <c r="C9">
        <v>291655.17000000004</v>
      </c>
    </row>
    <row r="10" spans="1:3" x14ac:dyDescent="0.35">
      <c r="A10" s="8">
        <v>45838</v>
      </c>
      <c r="B10">
        <v>546761.67999999993</v>
      </c>
      <c r="C10">
        <v>565361.52</v>
      </c>
    </row>
    <row r="11" spans="1:3" x14ac:dyDescent="0.35">
      <c r="A11" s="8">
        <v>45869</v>
      </c>
      <c r="B11">
        <v>160055.15000000002</v>
      </c>
      <c r="C11">
        <v>132557.51999999999</v>
      </c>
    </row>
    <row r="12" spans="1:3" x14ac:dyDescent="0.35">
      <c r="A12" s="8">
        <v>45900</v>
      </c>
      <c r="B12">
        <v>145643.15</v>
      </c>
      <c r="C12">
        <v>157967.52000000002</v>
      </c>
    </row>
    <row r="13" spans="1:3" x14ac:dyDescent="0.35">
      <c r="A13" s="8">
        <v>45930</v>
      </c>
      <c r="B13">
        <v>251824.3</v>
      </c>
      <c r="C13">
        <v>211233.36</v>
      </c>
    </row>
    <row r="14" spans="1:3" x14ac:dyDescent="0.35">
      <c r="A14" s="8">
        <v>45961</v>
      </c>
      <c r="B14">
        <v>63415</v>
      </c>
      <c r="C14">
        <v>132438.51999999999</v>
      </c>
    </row>
    <row r="15" spans="1:3" x14ac:dyDescent="0.35">
      <c r="A15" s="8">
        <v>45991</v>
      </c>
      <c r="B15">
        <v>110011.1</v>
      </c>
      <c r="C15">
        <v>1614152.52</v>
      </c>
    </row>
    <row r="16" spans="1:3" x14ac:dyDescent="0.35">
      <c r="A16" s="8">
        <v>46022</v>
      </c>
      <c r="B16">
        <v>291808</v>
      </c>
      <c r="C16">
        <v>122396.04000000001</v>
      </c>
    </row>
    <row r="17" spans="1:3" x14ac:dyDescent="0.35">
      <c r="A17" s="8">
        <v>46053</v>
      </c>
      <c r="B17">
        <v>211056</v>
      </c>
      <c r="C17">
        <v>121002</v>
      </c>
    </row>
    <row r="18" spans="1:3" x14ac:dyDescent="0.35">
      <c r="A18" s="8">
        <v>46081</v>
      </c>
      <c r="B18">
        <v>786825.3</v>
      </c>
      <c r="C18">
        <v>170884.52</v>
      </c>
    </row>
    <row r="19" spans="1:3" x14ac:dyDescent="0.35">
      <c r="A19" s="8">
        <v>46112</v>
      </c>
      <c r="B19">
        <v>572467.62</v>
      </c>
      <c r="C19">
        <v>1008449.52</v>
      </c>
    </row>
    <row r="20" spans="1:3" x14ac:dyDescent="0.35">
      <c r="A20" s="8">
        <v>46142</v>
      </c>
      <c r="B20">
        <v>672548</v>
      </c>
      <c r="C20">
        <v>254633</v>
      </c>
    </row>
    <row r="21" spans="1:3" x14ac:dyDescent="0.35">
      <c r="A21" s="8">
        <v>46173</v>
      </c>
      <c r="B21">
        <v>143470.82</v>
      </c>
    </row>
  </sheetData>
  <mergeCells count="1">
    <mergeCell ref="A4:C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BC5A-3E18-4253-B268-B16B82750B68}">
  <dimension ref="A2:H14"/>
  <sheetViews>
    <sheetView zoomScale="102" workbookViewId="0">
      <selection activeCell="H20" sqref="H20"/>
    </sheetView>
  </sheetViews>
  <sheetFormatPr defaultRowHeight="14.5" x14ac:dyDescent="0.35"/>
  <cols>
    <col min="1" max="1" width="20.54296875" bestFit="1" customWidth="1"/>
    <col min="2" max="2" width="22" bestFit="1" customWidth="1"/>
    <col min="8" max="8" width="16.453125" bestFit="1" customWidth="1"/>
    <col min="9" max="9" width="9.81640625" bestFit="1" customWidth="1"/>
  </cols>
  <sheetData>
    <row r="2" spans="1:8" x14ac:dyDescent="0.35">
      <c r="A2" s="131" t="s">
        <v>84</v>
      </c>
      <c r="B2" s="131"/>
    </row>
    <row r="3" spans="1:8" x14ac:dyDescent="0.35">
      <c r="A3" s="131"/>
      <c r="B3" s="131"/>
    </row>
    <row r="4" spans="1:8" x14ac:dyDescent="0.35">
      <c r="A4" s="4" t="s">
        <v>10</v>
      </c>
      <c r="B4" t="s">
        <v>22</v>
      </c>
    </row>
    <row r="6" spans="1:8" x14ac:dyDescent="0.35">
      <c r="A6" s="4" t="s">
        <v>83</v>
      </c>
      <c r="B6" t="s">
        <v>81</v>
      </c>
    </row>
    <row r="7" spans="1:8" x14ac:dyDescent="0.35">
      <c r="A7" s="5" t="s">
        <v>5</v>
      </c>
      <c r="B7" s="3">
        <v>2468491.5800000005</v>
      </c>
      <c r="G7" s="5" t="s">
        <v>5</v>
      </c>
      <c r="H7" s="3">
        <v>454143.04</v>
      </c>
    </row>
    <row r="8" spans="1:8" x14ac:dyDescent="0.35">
      <c r="A8" s="5" t="s">
        <v>6</v>
      </c>
      <c r="B8" s="3">
        <v>1074150.56</v>
      </c>
      <c r="G8" s="5" t="s">
        <v>65</v>
      </c>
      <c r="H8" s="3">
        <v>277825</v>
      </c>
    </row>
    <row r="9" spans="1:8" x14ac:dyDescent="0.35">
      <c r="A9" s="5" t="s">
        <v>64</v>
      </c>
      <c r="B9" s="3">
        <v>380000</v>
      </c>
      <c r="G9" s="5" t="s">
        <v>6</v>
      </c>
      <c r="H9" s="3">
        <v>195074.41</v>
      </c>
    </row>
    <row r="10" spans="1:8" x14ac:dyDescent="0.35">
      <c r="A10" s="5" t="s">
        <v>65</v>
      </c>
      <c r="B10" s="3">
        <v>371006</v>
      </c>
      <c r="G10" s="5" t="s">
        <v>64</v>
      </c>
      <c r="H10" s="3">
        <v>46500</v>
      </c>
    </row>
    <row r="11" spans="1:8" x14ac:dyDescent="0.35">
      <c r="A11" s="5" t="s">
        <v>67</v>
      </c>
      <c r="B11" s="3">
        <v>137594.20000000001</v>
      </c>
      <c r="G11" s="5" t="s">
        <v>66</v>
      </c>
      <c r="H11" s="3">
        <v>34218</v>
      </c>
    </row>
    <row r="12" spans="1:8" x14ac:dyDescent="0.35">
      <c r="A12" s="5" t="s">
        <v>66</v>
      </c>
      <c r="B12" s="3">
        <v>51929</v>
      </c>
      <c r="G12" s="5" t="s">
        <v>85</v>
      </c>
      <c r="H12" s="3">
        <v>5000</v>
      </c>
    </row>
    <row r="13" spans="1:8" x14ac:dyDescent="0.35">
      <c r="A13" s="5" t="s">
        <v>85</v>
      </c>
      <c r="B13" s="3">
        <v>35000</v>
      </c>
      <c r="G13" s="5" t="s">
        <v>67</v>
      </c>
      <c r="H13" s="3">
        <v>1000</v>
      </c>
    </row>
    <row r="14" spans="1:8" x14ac:dyDescent="0.35">
      <c r="A14" s="5" t="s">
        <v>86</v>
      </c>
      <c r="B14" s="3">
        <v>4518171.3400000008</v>
      </c>
    </row>
  </sheetData>
  <mergeCells count="1">
    <mergeCell ref="A2:B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126E1-EC4B-4A99-B835-B265484265E5}">
  <dimension ref="A2:B18"/>
  <sheetViews>
    <sheetView workbookViewId="0">
      <selection activeCell="A5" sqref="A5"/>
    </sheetView>
  </sheetViews>
  <sheetFormatPr defaultRowHeight="14.5" x14ac:dyDescent="0.35"/>
  <cols>
    <col min="1" max="1" width="9.6328125" bestFit="1" customWidth="1"/>
    <col min="2" max="2" width="9.54296875" bestFit="1" customWidth="1"/>
    <col min="3" max="3" width="7.81640625" bestFit="1" customWidth="1"/>
    <col min="4" max="4" width="10.7265625" bestFit="1" customWidth="1"/>
    <col min="5" max="5" width="19.1796875" bestFit="1" customWidth="1"/>
    <col min="6" max="6" width="16.54296875" bestFit="1" customWidth="1"/>
    <col min="7" max="7" width="12.7265625" bestFit="1" customWidth="1"/>
    <col min="8" max="8" width="7.453125" bestFit="1" customWidth="1"/>
    <col min="9" max="9" width="7.81640625" bestFit="1" customWidth="1"/>
    <col min="10" max="10" width="11.1796875" bestFit="1" customWidth="1"/>
    <col min="11" max="11" width="10.453125" bestFit="1" customWidth="1"/>
    <col min="12" max="12" width="10.7265625" bestFit="1" customWidth="1"/>
  </cols>
  <sheetData>
    <row r="2" spans="1:2" ht="14.5" customHeight="1" x14ac:dyDescent="0.35">
      <c r="A2" s="131" t="s">
        <v>87</v>
      </c>
      <c r="B2" s="131"/>
    </row>
    <row r="3" spans="1:2" ht="14.5" customHeight="1" x14ac:dyDescent="0.35">
      <c r="A3" s="131"/>
      <c r="B3" s="131"/>
    </row>
    <row r="4" spans="1:2" x14ac:dyDescent="0.35">
      <c r="A4" s="4" t="s">
        <v>88</v>
      </c>
      <c r="B4" t="s">
        <v>17</v>
      </c>
    </row>
    <row r="5" spans="1:2" x14ac:dyDescent="0.35">
      <c r="A5" s="8">
        <v>45777</v>
      </c>
      <c r="B5" s="3">
        <v>142208.84999999998</v>
      </c>
    </row>
    <row r="6" spans="1:2" x14ac:dyDescent="0.35">
      <c r="A6" s="8">
        <v>45808</v>
      </c>
      <c r="B6" s="3">
        <v>-43694.900000000023</v>
      </c>
    </row>
    <row r="7" spans="1:2" x14ac:dyDescent="0.35">
      <c r="A7" s="8">
        <v>45838</v>
      </c>
      <c r="B7" s="3">
        <v>18599.840000000026</v>
      </c>
    </row>
    <row r="8" spans="1:2" x14ac:dyDescent="0.35">
      <c r="A8" s="8">
        <v>45869</v>
      </c>
      <c r="B8" s="3">
        <v>-27497.630000000005</v>
      </c>
    </row>
    <row r="9" spans="1:2" x14ac:dyDescent="0.35">
      <c r="A9" s="8">
        <v>45900</v>
      </c>
      <c r="B9" s="3">
        <v>12324.37000000001</v>
      </c>
    </row>
    <row r="10" spans="1:2" x14ac:dyDescent="0.35">
      <c r="A10" s="8">
        <v>45930</v>
      </c>
      <c r="B10" s="3">
        <v>-40590.939999999995</v>
      </c>
    </row>
    <row r="11" spans="1:2" x14ac:dyDescent="0.35">
      <c r="A11" s="8">
        <v>45961</v>
      </c>
      <c r="B11" s="3">
        <v>69023.51999999999</v>
      </c>
    </row>
    <row r="12" spans="1:2" x14ac:dyDescent="0.35">
      <c r="A12" s="8">
        <v>45991</v>
      </c>
      <c r="B12" s="3">
        <v>1504141.42</v>
      </c>
    </row>
    <row r="13" spans="1:2" x14ac:dyDescent="0.35">
      <c r="A13" s="8">
        <v>46022</v>
      </c>
      <c r="B13" s="3">
        <v>-169411.96000000002</v>
      </c>
    </row>
    <row r="14" spans="1:2" x14ac:dyDescent="0.35">
      <c r="A14" s="8">
        <v>46053</v>
      </c>
      <c r="B14" s="3">
        <v>-90054</v>
      </c>
    </row>
    <row r="15" spans="1:2" x14ac:dyDescent="0.35">
      <c r="A15" s="8">
        <v>46081</v>
      </c>
      <c r="B15" s="3">
        <v>-615940.78</v>
      </c>
    </row>
    <row r="16" spans="1:2" x14ac:dyDescent="0.35">
      <c r="A16" s="8">
        <v>46112</v>
      </c>
      <c r="B16" s="3">
        <v>435981.9</v>
      </c>
    </row>
    <row r="17" spans="1:2" x14ac:dyDescent="0.35">
      <c r="A17" s="8">
        <v>46142</v>
      </c>
      <c r="B17" s="3">
        <v>-417915</v>
      </c>
    </row>
    <row r="18" spans="1:2" x14ac:dyDescent="0.35">
      <c r="A18" s="8">
        <v>46173</v>
      </c>
      <c r="B18" s="3">
        <v>-143470.82</v>
      </c>
    </row>
  </sheetData>
  <mergeCells count="1">
    <mergeCell ref="A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Overview</vt:lpstr>
      <vt:lpstr>Income</vt:lpstr>
      <vt:lpstr>Expense</vt:lpstr>
      <vt:lpstr>Trends</vt:lpstr>
      <vt:lpstr>BarChart</vt:lpstr>
      <vt:lpstr>PieChart</vt:lpstr>
      <vt:lpstr>LineChart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Shambhavi's Space💫</dc:creator>
  <cp:keywords/>
  <dc:description/>
  <cp:lastModifiedBy>shambhavi singh</cp:lastModifiedBy>
  <cp:revision/>
  <dcterms:created xsi:type="dcterms:W3CDTF">2015-06-05T18:17:20Z</dcterms:created>
  <dcterms:modified xsi:type="dcterms:W3CDTF">2026-05-28T15:39:36Z</dcterms:modified>
  <cp:category/>
  <cp:contentStatus/>
</cp:coreProperties>
</file>